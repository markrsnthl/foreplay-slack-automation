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 Contracts" sheetId="1" state="visible" r:id="rId3"/>
    <sheet name="2026 Ad Spend" sheetId="2" state="visible" r:id="rId4"/>
    <sheet name="Revenue Projection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<sst xmlns="http://schemas.openxmlformats.org/spreadsheetml/2006/main" count="84" uniqueCount="42">
  <si>
    <t xml:space="preserve">Client</t>
  </si>
  <si>
    <t xml:space="preserve">Base Retainer</t>
  </si>
  <si>
    <t xml:space="preserve">% of Ad Spend</t>
  </si>
  <si>
    <t xml:space="preserve">Notes</t>
  </si>
  <si>
    <t xml:space="preserve">Peddle</t>
  </si>
  <si>
    <t xml:space="preserve">5.5% of ad spend</t>
  </si>
  <si>
    <t xml:space="preserve">SUNFLOW</t>
  </si>
  <si>
    <t xml:space="preserve">7% attributed revenue excl. branded</t>
  </si>
  <si>
    <t xml:space="preserve">Sonsie Skin</t>
  </si>
  <si>
    <t xml:space="preserve">$4K base + 8% revenue share</t>
  </si>
  <si>
    <t xml:space="preserve">Kaspar &amp; Lugay</t>
  </si>
  <si>
    <t xml:space="preserve">$1K base + 5% of ad spend</t>
  </si>
  <si>
    <t xml:space="preserve">Wrensilva</t>
  </si>
  <si>
    <t xml:space="preserve">$4K base + 5% attributed 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</si>
  <si>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</si>
  <si>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</si>
  <si>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</si>
  <si>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</si>
  <si>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</si>
  <si>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</si>
  <si>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</si>
  <si>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</si>
  <si>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</si>
  <si>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</si>
  <si>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</si>
  <si>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</si>
  <si>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</si>
  <si>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TOTAL</t>
  </si>
  <si>
    <t xml:space="preserve">TOTAL REVENUE</t>
  </si>
  <si>
    <t xml:space="preserve">MVR DIGITAL 2026 REVENUE ESTIMATE</t>
  </si>
  <si>
    <t xml:space="preserve">KEY METRICS</t>
  </si>
  <si>
    <t xml:space="preserve">Projected Annual Revenue</t>
  </si>
  <si>
    <t xml:space="preserve">Monthly Average</t>
  </si>
  <si>
    <t xml:space="preserve">Total Ad Spend Managed</t>
  </si>
  <si>
    <t xml:space="preserve">Effective Mgmt Fee Rate</t>
  </si>
  <si>
    <t xml:space="preserve">VS $150K/MO TARGET</t>
  </si>
  <si>
    <t xml:space="preserve">Monthly Target</t>
  </si>
  <si>
    <t xml:space="preserve">Projected Avg</t>
  </si>
  <si>
    <t xml:space="preserve">Gap</t>
  </si>
  <si>
    <t xml:space="preserve">% of Target</t>
  </si>
  <si>
    <t xml:space="preserve">MONTHLY REVENUE</t>
  </si>
  <si>
    <t xml:space="preserve">BY CLIENT (Annual)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</si>
</sst>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0.00%"/>
    <numFmt numFmtId="168" formatCode="\$#,##0;&quot;($&quot;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9E2F3"/>
        <bgColor rgb="FFC6E0B4"/>
      </patternFill>
    </fill>
    <fill>
      <patternFill patternType="solid">
        <fgColor rgb="FF538135"/>
        <bgColor rgb="FF808000"/>
      </patternFill>
    </fill>
    <fill>
      <patternFill patternType="solid">
        <fgColor rgb="FF375623"/>
        <bgColor rgb="FF333300"/>
      </patternFill>
    </fill>
    <fill>
      <patternFill patternType="solid">
        <fgColor rgb="FFC6E0B4"/>
        <bgColor rgb="FFD9E2F3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538135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0</v>
      </c>
      <c r="C2" s="3" t="n">
        <v>0.055</v>
      </c>
      <c r="D2" s="0" t="s">
        <v>5</v>
      </c>
    </row>
    <row r="3" customFormat="false" ht="15" hidden="false" customHeight="false" outlineLevel="0" collapsed="false">
      <c r="A3" s="0" t="s">
        <v>6</v>
      </c>
      <c r="B3" s="2" t="n">
        <v>0</v>
      </c>
      <c r="C3" s="3" t="n">
        <v>0.07</v>
      </c>
      <c r="D3" s="0" t="s">
        <v>7</v>
      </c>
    </row>
    <row r="4" customFormat="false" ht="15" hidden="false" customHeight="false" outlineLevel="0" collapsed="false">
      <c r="A4" s="0" t="s">
        <v>8</v>
      </c>
      <c r="B4" s="2" t="n">
        <v>4000</v>
      </c>
      <c r="C4" s="3" t="n">
        <v>0.08</v>
      </c>
      <c r="D4" s="0" t="s">
        <v>9</v>
      </c>
    </row>
    <row r="5" customFormat="false" ht="15" hidden="false" customHeight="false" outlineLevel="0" collapsed="false">
      <c r="A5" s="0" t="s">
        <v>10</v>
      </c>
      <c r="B5" s="2" t="n">
        <v>1000</v>
      </c>
      <c r="C5" s="3" t="n">
        <v>0.05</v>
      </c>
      <c r="D5" s="0" t="s">
        <v>11</v>
      </c>
    </row>
    <row r="6" customFormat="false" ht="15" hidden="false" customHeight="false" outlineLevel="0" collapsed="false">
      <c r="A6" s="0" t="s">
        <v>12</v>
      </c>
      <c r="B6" s="2" t="n">
        <v>4000</v>
      </c>
      <c r="C6" s="3" t="n">
        <v>0.05</v>
      </c>
      <c r="D6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4" t="s">
        <v>0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6" t="s">
        <v>26</v>
      </c>
    </row>
    <row r="2" customFormat="false" ht="15" hidden="false" customHeight="false" outlineLevel="0" collapsed="false">
      <c r="A2" s="4" t="s">
        <v>4</v>
      </c>
      <c r="B2" s="2" t="n">
        <v>1129600</v>
      </c>
      <c r="C2" s="2" t="n">
        <v>1129600</v>
      </c>
      <c r="D2" s="2" t="n">
        <v>1129600</v>
      </c>
      <c r="E2" s="2" t="n">
        <v>1129600</v>
      </c>
      <c r="F2" s="2" t="n">
        <v>1129600</v>
      </c>
      <c r="G2" s="2" t="n">
        <v>1129600</v>
      </c>
      <c r="H2" s="2" t="n">
        <v>1129600</v>
      </c>
      <c r="I2" s="2" t="n">
        <v>1129600</v>
      </c>
      <c r="J2" s="2" t="n">
        <v>1129600</v>
      </c>
      <c r="K2" s="2" t="n">
        <v>1129600</v>
      </c>
      <c r="L2" s="2" t="n">
        <v>1129600</v>
      </c>
      <c r="M2" s="2" t="n">
        <v>1129600</v>
      </c>
      <c r="N2" s="7" t="n">
        <f aca="false">SUM(B2:M2)</f>
        <v>13555200</v>
      </c>
    </row>
    <row r="3" customFormat="false" ht="15" hidden="false" customHeight="false" outlineLevel="0" collapsed="false">
      <c r="A3" s="4" t="s">
        <v>6</v>
      </c>
      <c r="B3" s="2" t="n">
        <v>9000</v>
      </c>
      <c r="C3" s="2" t="n">
        <v>15000</v>
      </c>
      <c r="D3" s="2" t="n">
        <v>42000</v>
      </c>
      <c r="E3" s="2" t="n">
        <v>42000</v>
      </c>
      <c r="F3" s="2" t="n">
        <v>150000</v>
      </c>
      <c r="G3" s="2" t="n">
        <v>210000</v>
      </c>
      <c r="H3" s="2" t="n">
        <v>125000</v>
      </c>
      <c r="I3" s="2" t="n">
        <v>65000</v>
      </c>
      <c r="J3" s="2" t="n">
        <v>15000</v>
      </c>
      <c r="K3" s="2" t="n">
        <v>17000</v>
      </c>
      <c r="L3" s="2" t="n">
        <v>44000</v>
      </c>
      <c r="M3" s="2" t="n">
        <v>32000</v>
      </c>
      <c r="N3" s="7" t="n">
        <f aca="false">SUM(B3:M3)</f>
        <v>766000</v>
      </c>
    </row>
    <row r="4" customFormat="false" ht="15" hidden="false" customHeight="false" outlineLevel="0" collapsed="false">
      <c r="A4" s="4" t="s">
        <v>8</v>
      </c>
      <c r="B4" s="2" t="n">
        <v>17667</v>
      </c>
      <c r="C4" s="2" t="n">
        <v>17656</v>
      </c>
      <c r="D4" s="2" t="n">
        <v>20000</v>
      </c>
      <c r="E4" s="2" t="n">
        <v>20000</v>
      </c>
      <c r="F4" s="2" t="n">
        <v>74000</v>
      </c>
      <c r="G4" s="2" t="n">
        <v>81000</v>
      </c>
      <c r="H4" s="2" t="n">
        <v>63000</v>
      </c>
      <c r="I4" s="2" t="n">
        <v>42600</v>
      </c>
      <c r="J4" s="2" t="n">
        <v>40000</v>
      </c>
      <c r="K4" s="2" t="n">
        <v>65000</v>
      </c>
      <c r="L4" s="2" t="n">
        <v>90000</v>
      </c>
      <c r="M4" s="2" t="n">
        <v>60000</v>
      </c>
      <c r="N4" s="7" t="n">
        <f aca="false">SUM(B4:M4)</f>
        <v>590923</v>
      </c>
    </row>
    <row r="5" customFormat="false" ht="15" hidden="false" customHeight="false" outlineLevel="0" collapsed="false">
      <c r="A5" s="4" t="s">
        <v>10</v>
      </c>
      <c r="B5" s="2" t="n">
        <v>109880</v>
      </c>
      <c r="C5" s="2" t="n">
        <v>114056</v>
      </c>
      <c r="D5" s="2" t="n">
        <v>119067</v>
      </c>
      <c r="E5" s="2" t="n">
        <v>125081</v>
      </c>
      <c r="F5" s="2" t="n">
        <v>132297</v>
      </c>
      <c r="G5" s="2" t="n">
        <v>140956</v>
      </c>
      <c r="H5" s="2" t="n">
        <v>151347</v>
      </c>
      <c r="I5" s="2" t="n">
        <v>163817</v>
      </c>
      <c r="J5" s="2" t="n">
        <v>178780</v>
      </c>
      <c r="K5" s="2" t="n">
        <v>196736</v>
      </c>
      <c r="L5" s="2" t="n">
        <v>218283</v>
      </c>
      <c r="M5" s="2" t="n">
        <v>244140</v>
      </c>
      <c r="N5" s="7" t="n">
        <f aca="false">SUM(B5:M5)</f>
        <v>1894440</v>
      </c>
    </row>
    <row r="6" customFormat="false" ht="15" hidden="false" customHeight="false" outlineLevel="0" collapsed="false">
      <c r="A6" s="4" t="s">
        <v>12</v>
      </c>
      <c r="B6" s="2" t="n">
        <v>100000</v>
      </c>
      <c r="C6" s="2" t="n">
        <v>100000</v>
      </c>
      <c r="D6" s="2" t="n">
        <v>100000</v>
      </c>
      <c r="E6" s="2" t="n">
        <v>100000</v>
      </c>
      <c r="F6" s="2" t="n">
        <v>100000</v>
      </c>
      <c r="G6" s="2" t="n">
        <v>100000</v>
      </c>
      <c r="H6" s="2" t="n">
        <v>100000</v>
      </c>
      <c r="I6" s="2" t="n">
        <v>100000</v>
      </c>
      <c r="J6" s="2" t="n">
        <v>100000</v>
      </c>
      <c r="K6" s="2" t="n">
        <v>120000</v>
      </c>
      <c r="L6" s="2" t="n">
        <v>120000</v>
      </c>
      <c r="M6" s="2" t="n">
        <v>120000</v>
      </c>
      <c r="N6" s="7" t="n">
        <f aca="false">SUM(B6:M6)</f>
        <v>1260000</v>
      </c>
    </row>
    <row r="7" customFormat="false" ht="15" hidden="false" customHeight="false" outlineLevel="0" collapsed="false">
      <c r="A7" s="8" t="s">
        <v>27</v>
      </c>
      <c r="B7" s="9" t="n">
        <f aca="false">SUM(B2:B6)</f>
        <v>1366147</v>
      </c>
      <c r="C7" s="9" t="n">
        <f aca="false">SUM(C2:C6)</f>
        <v>1376312</v>
      </c>
      <c r="D7" s="9" t="n">
        <f aca="false">SUM(D2:D6)</f>
        <v>1410667</v>
      </c>
      <c r="E7" s="9" t="n">
        <f aca="false">SUM(E2:E6)</f>
        <v>1416681</v>
      </c>
      <c r="F7" s="9" t="n">
        <f aca="false">SUM(F2:F6)</f>
        <v>1585897</v>
      </c>
      <c r="G7" s="9" t="n">
        <f aca="false">SUM(G2:G6)</f>
        <v>1661556</v>
      </c>
      <c r="H7" s="9" t="n">
        <f aca="false">SUM(H2:H6)</f>
        <v>1568947</v>
      </c>
      <c r="I7" s="9" t="n">
        <f aca="false">SUM(I2:I6)</f>
        <v>1501017</v>
      </c>
      <c r="J7" s="9" t="n">
        <f aca="false">SUM(J2:J6)</f>
        <v>1463380</v>
      </c>
      <c r="K7" s="9" t="n">
        <f aca="false">SUM(K2:K6)</f>
        <v>1528336</v>
      </c>
      <c r="L7" s="9" t="n">
        <f aca="false">SUM(L2:L6)</f>
        <v>1601883</v>
      </c>
      <c r="M7" s="9" t="n">
        <f aca="false">SUM(M2:M6)</f>
        <v>1585740</v>
      </c>
      <c r="N7" s="9" t="n">
        <f aca="false">SUM(N2:N6)</f>
        <v>18066563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4" t="s">
        <v>0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  <c r="J1" s="10" t="s">
        <v>22</v>
      </c>
      <c r="K1" s="10" t="s">
        <v>23</v>
      </c>
      <c r="L1" s="10" t="s">
        <v>24</v>
      </c>
      <c r="M1" s="10" t="s">
        <v>25</v>
      </c>
      <c r="N1" s="11" t="s">
        <v>26</v>
      </c>
    </row>
    <row r="2" customFormat="false" ht="15" hidden="false" customHeight="false" outlineLevel="0" collapsed="false">
      <c r="A2" s="4" t="s">
        <v>4</v>
      </c>
      <c r="B2" s="12" t="n">
        <f aca="false">'2026 Contracts'!$B$2+'2026 Ad Spend'!B2*'2026 Contracts'!$C$2</f>
        <v>62128</v>
      </c>
      <c r="C2" s="12" t="n">
        <f aca="false">'2026 Contracts'!$B$2+'2026 Ad Spend'!C2*'2026 Contracts'!$C$2</f>
        <v>62128</v>
      </c>
      <c r="D2" s="12" t="n">
        <f aca="false">'2026 Contracts'!$B$2+'2026 Ad Spend'!D2*'2026 Contracts'!$C$2</f>
        <v>62128</v>
      </c>
      <c r="E2" s="12" t="n">
        <f aca="false">'2026 Contracts'!$B$2+'2026 Ad Spend'!E2*'2026 Contracts'!$C$2</f>
        <v>62128</v>
      </c>
      <c r="F2" s="12" t="n">
        <f aca="false">'2026 Contracts'!$B$2+'2026 Ad Spend'!F2*'2026 Contracts'!$C$2</f>
        <v>62128</v>
      </c>
      <c r="G2" s="12" t="n">
        <f aca="false">'2026 Contracts'!$B$2+'2026 Ad Spend'!G2*'2026 Contracts'!$C$2</f>
        <v>62128</v>
      </c>
      <c r="H2" s="12" t="n">
        <f aca="false">'2026 Contracts'!$B$2+'2026 Ad Spend'!H2*'2026 Contracts'!$C$2</f>
        <v>62128</v>
      </c>
      <c r="I2" s="12" t="n">
        <f aca="false">'2026 Contracts'!$B$2+'2026 Ad Spend'!I2*'2026 Contracts'!$C$2</f>
        <v>62128</v>
      </c>
      <c r="J2" s="12" t="n">
        <f aca="false">'2026 Contracts'!$B$2+'2026 Ad Spend'!J2*'2026 Contracts'!$C$2</f>
        <v>62128</v>
      </c>
      <c r="K2" s="12" t="n">
        <f aca="false">'2026 Contracts'!$B$2+'2026 Ad Spend'!K2*'2026 Contracts'!$C$2</f>
        <v>62128</v>
      </c>
      <c r="L2" s="12" t="n">
        <f aca="false">'2026 Contracts'!$B$2+'2026 Ad Spend'!L2*'2026 Contracts'!$C$2</f>
        <v>62128</v>
      </c>
      <c r="M2" s="12" t="n">
        <f aca="false">'2026 Contracts'!$B$2+'2026 Ad Spend'!M2*'2026 Contracts'!$C$2</f>
        <v>62128</v>
      </c>
      <c r="N2" s="7" t="n">
        <f aca="false">SUM(B2:M2)</f>
        <v>745536</v>
      </c>
    </row>
    <row r="3" customFormat="false" ht="15" hidden="false" customHeight="false" outlineLevel="0" collapsed="false">
      <c r="A3" s="4" t="s">
        <v>6</v>
      </c>
      <c r="B3" s="12" t="n">
        <f aca="false">'2026 Contracts'!$B$3+'2026 Ad Spend'!B3*'2026 Contracts'!$C$3</f>
        <v>630</v>
      </c>
      <c r="C3" s="12" t="n">
        <f aca="false">'2026 Contracts'!$B$3+'2026 Ad Spend'!C3*'2026 Contracts'!$C$3</f>
        <v>1050</v>
      </c>
      <c r="D3" s="12" t="n">
        <f aca="false">'2026 Contracts'!$B$3+'2026 Ad Spend'!D3*'2026 Contracts'!$C$3</f>
        <v>2940</v>
      </c>
      <c r="E3" s="12" t="n">
        <f aca="false">'2026 Contracts'!$B$3+'2026 Ad Spend'!E3*'2026 Contracts'!$C$3</f>
        <v>2940</v>
      </c>
      <c r="F3" s="12" t="n">
        <f aca="false">'2026 Contracts'!$B$3+'2026 Ad Spend'!F3*'2026 Contracts'!$C$3</f>
        <v>10500</v>
      </c>
      <c r="G3" s="12" t="n">
        <f aca="false">'2026 Contracts'!$B$3+'2026 Ad Spend'!G3*'2026 Contracts'!$C$3</f>
        <v>14700</v>
      </c>
      <c r="H3" s="12" t="n">
        <f aca="false">'2026 Contracts'!$B$3+'2026 Ad Spend'!H3*'2026 Contracts'!$C$3</f>
        <v>8750</v>
      </c>
      <c r="I3" s="12" t="n">
        <f aca="false">'2026 Contracts'!$B$3+'2026 Ad Spend'!I3*'2026 Contracts'!$C$3</f>
        <v>4550</v>
      </c>
      <c r="J3" s="12" t="n">
        <f aca="false">'2026 Contracts'!$B$3+'2026 Ad Spend'!J3*'2026 Contracts'!$C$3</f>
        <v>1050</v>
      </c>
      <c r="K3" s="12" t="n">
        <f aca="false">'2026 Contracts'!$B$3+'2026 Ad Spend'!K3*'2026 Contracts'!$C$3</f>
        <v>1190</v>
      </c>
      <c r="L3" s="12" t="n">
        <f aca="false">'2026 Contracts'!$B$3+'2026 Ad Spend'!L3*'2026 Contracts'!$C$3</f>
        <v>3080</v>
      </c>
      <c r="M3" s="12" t="n">
        <f aca="false">'2026 Contracts'!$B$3+'2026 Ad Spend'!M3*'2026 Contracts'!$C$3</f>
        <v>2240</v>
      </c>
      <c r="N3" s="7" t="n">
        <f aca="false">SUM(B3:M3)</f>
        <v>53620</v>
      </c>
    </row>
    <row r="4" customFormat="false" ht="15" hidden="false" customHeight="false" outlineLevel="0" collapsed="false">
      <c r="A4" s="4" t="s">
        <v>8</v>
      </c>
      <c r="B4" s="12" t="n">
        <f aca="false">'2026 Contracts'!$B$4+'2026 Ad Spend'!B4*'2026 Contracts'!$C$4</f>
        <v>5413.36</v>
      </c>
      <c r="C4" s="12" t="n">
        <f aca="false">'2026 Contracts'!$B$4+'2026 Ad Spend'!C4*'2026 Contracts'!$C$4</f>
        <v>5412.48</v>
      </c>
      <c r="D4" s="12" t="n">
        <f aca="false">'2026 Contracts'!$B$4+'2026 Ad Spend'!D4*'2026 Contracts'!$C$4</f>
        <v>5600</v>
      </c>
      <c r="E4" s="12" t="n">
        <f aca="false">'2026 Contracts'!$B$4+'2026 Ad Spend'!E4*'2026 Contracts'!$C$4</f>
        <v>5600</v>
      </c>
      <c r="F4" s="12" t="n">
        <f aca="false">'2026 Contracts'!$B$4+'2026 Ad Spend'!F4*'2026 Contracts'!$C$4</f>
        <v>9920</v>
      </c>
      <c r="G4" s="12" t="n">
        <f aca="false">'2026 Contracts'!$B$4+'2026 Ad Spend'!G4*'2026 Contracts'!$C$4</f>
        <v>10480</v>
      </c>
      <c r="H4" s="12" t="n">
        <f aca="false">'2026 Contracts'!$B$4+'2026 Ad Spend'!H4*'2026 Contracts'!$C$4</f>
        <v>9040</v>
      </c>
      <c r="I4" s="12" t="n">
        <f aca="false">'2026 Contracts'!$B$4+'2026 Ad Spend'!I4*'2026 Contracts'!$C$4</f>
        <v>7408</v>
      </c>
      <c r="J4" s="12" t="n">
        <f aca="false">'2026 Contracts'!$B$4+'2026 Ad Spend'!J4*'2026 Contracts'!$C$4</f>
        <v>7200</v>
      </c>
      <c r="K4" s="12" t="n">
        <f aca="false">'2026 Contracts'!$B$4+'2026 Ad Spend'!K4*'2026 Contracts'!$C$4</f>
        <v>9200</v>
      </c>
      <c r="L4" s="12" t="n">
        <f aca="false">'2026 Contracts'!$B$4+'2026 Ad Spend'!L4*'2026 Contracts'!$C$4</f>
        <v>11200</v>
      </c>
      <c r="M4" s="12" t="n">
        <f aca="false">'2026 Contracts'!$B$4+'2026 Ad Spend'!M4*'2026 Contracts'!$C$4</f>
        <v>8800</v>
      </c>
      <c r="N4" s="7" t="n">
        <f aca="false">SUM(B4:M4)</f>
        <v>95273.84</v>
      </c>
    </row>
    <row r="5" customFormat="false" ht="15" hidden="false" customHeight="false" outlineLevel="0" collapsed="false">
      <c r="A5" s="4" t="s">
        <v>10</v>
      </c>
      <c r="B5" s="12" t="n">
        <f aca="false">'2026 Contracts'!$B$5+'2026 Ad Spend'!B5*'2026 Contracts'!$C$5</f>
        <v>6494</v>
      </c>
      <c r="C5" s="12" t="n">
        <f aca="false">'2026 Contracts'!$B$5+'2026 Ad Spend'!C5*'2026 Contracts'!$C$5</f>
        <v>6702.8</v>
      </c>
      <c r="D5" s="12" t="n">
        <f aca="false">'2026 Contracts'!$B$5+'2026 Ad Spend'!D5*'2026 Contracts'!$C$5</f>
        <v>6953.35</v>
      </c>
      <c r="E5" s="12" t="n">
        <f aca="false">'2026 Contracts'!$B$5+'2026 Ad Spend'!E5*'2026 Contracts'!$C$5</f>
        <v>7254.05</v>
      </c>
      <c r="F5" s="12" t="n">
        <f aca="false">'2026 Contracts'!$B$5+'2026 Ad Spend'!F5*'2026 Contracts'!$C$5</f>
        <v>7614.85</v>
      </c>
      <c r="G5" s="12" t="n">
        <f aca="false">'2026 Contracts'!$B$5+'2026 Ad Spend'!G5*'2026 Contracts'!$C$5</f>
        <v>8047.8</v>
      </c>
      <c r="H5" s="12" t="n">
        <f aca="false">'2026 Contracts'!$B$5+'2026 Ad Spend'!H5*'2026 Contracts'!$C$5</f>
        <v>8567.35</v>
      </c>
      <c r="I5" s="12" t="n">
        <f aca="false">'2026 Contracts'!$B$5+'2026 Ad Spend'!I5*'2026 Contracts'!$C$5</f>
        <v>9190.85</v>
      </c>
      <c r="J5" s="12" t="n">
        <f aca="false">'2026 Contracts'!$B$5+'2026 Ad Spend'!J5*'2026 Contracts'!$C$5</f>
        <v>9939</v>
      </c>
      <c r="K5" s="12" t="n">
        <f aca="false">'2026 Contracts'!$B$5+'2026 Ad Spend'!K5*'2026 Contracts'!$C$5</f>
        <v>10836.8</v>
      </c>
      <c r="L5" s="12" t="n">
        <f aca="false">'2026 Contracts'!$B$5+'2026 Ad Spend'!L5*'2026 Contracts'!$C$5</f>
        <v>11914.15</v>
      </c>
      <c r="M5" s="12" t="n">
        <f aca="false">'2026 Contracts'!$B$5+'2026 Ad Spend'!M5*'2026 Contracts'!$C$5</f>
        <v>13207</v>
      </c>
      <c r="N5" s="7" t="n">
        <f aca="false">SUM(B5:M5)</f>
        <v>106722</v>
      </c>
    </row>
    <row r="6" customFormat="false" ht="15" hidden="false" customHeight="false" outlineLevel="0" collapsed="false">
      <c r="A6" s="4" t="s">
        <v>12</v>
      </c>
      <c r="B6" s="12" t="n">
        <f aca="false">'2026 Contracts'!$B$6+'2026 Ad Spend'!B6*'2026 Contracts'!$C$6</f>
        <v>9000</v>
      </c>
      <c r="C6" s="12" t="n">
        <f aca="false">'2026 Contracts'!$B$6+'2026 Ad Spend'!C6*'2026 Contracts'!$C$6</f>
        <v>9000</v>
      </c>
      <c r="D6" s="12" t="n">
        <f aca="false">'2026 Contracts'!$B$6+'2026 Ad Spend'!D6*'2026 Contracts'!$C$6</f>
        <v>9000</v>
      </c>
      <c r="E6" s="12" t="n">
        <f aca="false">'2026 Contracts'!$B$6+'2026 Ad Spend'!E6*'2026 Contracts'!$C$6</f>
        <v>9000</v>
      </c>
      <c r="F6" s="12" t="n">
        <f aca="false">'2026 Contracts'!$B$6+'2026 Ad Spend'!F6*'2026 Contracts'!$C$6</f>
        <v>9000</v>
      </c>
      <c r="G6" s="12" t="n">
        <f aca="false">'2026 Contracts'!$B$6+'2026 Ad Spend'!G6*'2026 Contracts'!$C$6</f>
        <v>9000</v>
      </c>
      <c r="H6" s="12" t="n">
        <f aca="false">'2026 Contracts'!$B$6+'2026 Ad Spend'!H6*'2026 Contracts'!$C$6</f>
        <v>9000</v>
      </c>
      <c r="I6" s="12" t="n">
        <f aca="false">'2026 Contracts'!$B$6+'2026 Ad Spend'!I6*'2026 Contracts'!$C$6</f>
        <v>9000</v>
      </c>
      <c r="J6" s="12" t="n">
        <f aca="false">'2026 Contracts'!$B$6+'2026 Ad Spend'!J6*'2026 Contracts'!$C$6</f>
        <v>9000</v>
      </c>
      <c r="K6" s="12" t="n">
        <f aca="false">'2026 Contracts'!$B$6+'2026 Ad Spend'!K6*'2026 Contracts'!$C$6</f>
        <v>10000</v>
      </c>
      <c r="L6" s="12" t="n">
        <f aca="false">'2026 Contracts'!$B$6+'2026 Ad Spend'!L6*'2026 Contracts'!$C$6</f>
        <v>10000</v>
      </c>
      <c r="M6" s="12" t="n">
        <f aca="false">'2026 Contracts'!$B$6+'2026 Ad Spend'!M6*'2026 Contracts'!$C$6</f>
        <v>10000</v>
      </c>
      <c r="N6" s="7" t="n">
        <f aca="false">SUM(B6:M6)</f>
        <v>111000</v>
      </c>
    </row>
    <row r="7" customFormat="false" ht="15" hidden="false" customHeight="false" outlineLevel="0" collapsed="false">
      <c r="A7" s="13" t="s">
        <v>28</v>
      </c>
      <c r="B7" s="14" t="n">
        <f aca="false">SUM(B2:B6)</f>
        <v>83665.36</v>
      </c>
      <c r="C7" s="14" t="n">
        <f aca="false">SUM(C2:C6)</f>
        <v>84293.28</v>
      </c>
      <c r="D7" s="14" t="n">
        <f aca="false">SUM(D2:D6)</f>
        <v>86621.35</v>
      </c>
      <c r="E7" s="14" t="n">
        <f aca="false">SUM(E2:E6)</f>
        <v>86922.05</v>
      </c>
      <c r="F7" s="14" t="n">
        <f aca="false">SUM(F2:F6)</f>
        <v>99162.85</v>
      </c>
      <c r="G7" s="14" t="n">
        <f aca="false">SUM(G2:G6)</f>
        <v>104355.8</v>
      </c>
      <c r="H7" s="14" t="n">
        <f aca="false">SUM(H2:H6)</f>
        <v>97485.35</v>
      </c>
      <c r="I7" s="14" t="n">
        <f aca="false">SUM(I2:I6)</f>
        <v>92276.85</v>
      </c>
      <c r="J7" s="14" t="n">
        <f aca="false">SUM(J2:J6)</f>
        <v>89317</v>
      </c>
      <c r="K7" s="14" t="n">
        <f aca="false">SUM(K2:K6)</f>
        <v>93354.8</v>
      </c>
      <c r="L7" s="14" t="n">
        <f aca="false">SUM(L2:L6)</f>
        <v>98322.15</v>
      </c>
      <c r="M7" s="14" t="n">
        <f aca="false">SUM(M2:M6)</f>
        <v>96375</v>
      </c>
      <c r="N7" s="14" t="n">
        <f aca="false">SUM(N2:N6)</f>
        <v>1112151.84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12" min="3" style="0" width="10"/>
  </cols>
  <sheetData>
    <row r="1" customFormat="false" ht="19.7" hidden="false" customHeight="false" outlineLevel="0" collapsed="false">
      <c r="A1" s="15" t="s">
        <v>29</v>
      </c>
      <c r="B1" s="15"/>
      <c r="C1" s="15"/>
      <c r="D1" s="15"/>
      <c r="E1" s="15"/>
      <c r="F1" s="15"/>
    </row>
    <row r="3" customFormat="false" ht="15" hidden="false" customHeight="false" outlineLevel="0" collapsed="false">
      <c r="A3" s="16" t="s">
        <v>30</v>
      </c>
    </row>
    <row r="4" customFormat="false" ht="17.35" hidden="false" customHeight="false" outlineLevel="0" collapsed="false">
      <c r="A4" s="0" t="s">
        <v>31</v>
      </c>
      <c r="B4" s="17" t="n">
        <f aca="false">'Revenue Projection'!N7</f>
        <v>1112151.84</v>
      </c>
    </row>
    <row r="5" customFormat="false" ht="17.35" hidden="false" customHeight="false" outlineLevel="0" collapsed="false">
      <c r="A5" s="0" t="s">
        <v>32</v>
      </c>
      <c r="B5" s="17" t="n">
        <f aca="false">'Revenue Projection'!N7/12</f>
        <v>92679.32</v>
      </c>
    </row>
    <row r="6" customFormat="false" ht="17.35" hidden="false" customHeight="false" outlineLevel="0" collapsed="false">
      <c r="A6" s="0" t="s">
        <v>33</v>
      </c>
      <c r="B6" s="17" t="n">
        <f aca="false">'2026 Ad Spend'!N7</f>
        <v>18066563</v>
      </c>
    </row>
    <row r="7" customFormat="false" ht="17.35" hidden="false" customHeight="false" outlineLevel="0" collapsed="false">
      <c r="A7" s="0" t="s">
        <v>34</v>
      </c>
      <c r="B7" s="18" t="n">
        <f aca="false">'Revenue Projection'!N7/'2026 Ad Spend'!N7</f>
        <v>0.0615585731497463</v>
      </c>
    </row>
    <row r="9" customFormat="false" ht="15" hidden="false" customHeight="false" outlineLevel="0" collapsed="false">
      <c r="A9" s="19" t="s">
        <v>35</v>
      </c>
    </row>
    <row r="10" customFormat="false" ht="15" hidden="false" customHeight="false" outlineLevel="0" collapsed="false">
      <c r="A10" s="0" t="s">
        <v>36</v>
      </c>
      <c r="B10" s="2" t="n">
        <v>150000</v>
      </c>
    </row>
    <row r="11" customFormat="false" ht="15" hidden="false" customHeight="false" outlineLevel="0" collapsed="false">
      <c r="A11" s="0" t="s">
        <v>37</v>
      </c>
      <c r="B11" s="20" t="n">
        <f aca="false">B5</f>
        <v>92679.32</v>
      </c>
    </row>
    <row r="12" customFormat="false" ht="15" hidden="false" customHeight="false" outlineLevel="0" collapsed="false">
      <c r="A12" s="0" t="s">
        <v>38</v>
      </c>
      <c r="B12" s="21" t="n">
        <f aca="false">B11-B10</f>
        <v>-57320.68</v>
      </c>
    </row>
    <row r="13" customFormat="false" ht="15" hidden="false" customHeight="false" outlineLevel="0" collapsed="false">
      <c r="A13" s="0" t="s">
        <v>39</v>
      </c>
      <c r="B13" s="22" t="n">
        <f aca="false">B11/B10</f>
        <v>0.617862133333333</v>
      </c>
    </row>
    <row r="15" customFormat="false" ht="15" hidden="false" customHeight="false" outlineLevel="0" collapsed="false">
      <c r="A15" s="23" t="s">
        <v>40</v>
      </c>
    </row>
    <row r="16" customFormat="false" ht="15" hidden="false" customHeight="false" outlineLevel="0" collapsed="false">
      <c r="A16" s="24" t="s">
        <v>14</v>
      </c>
      <c r="B16" s="24" t="s">
        <v>15</v>
      </c>
      <c r="C16" s="24" t="s">
        <v>16</v>
      </c>
      <c r="D16" s="24" t="s">
        <v>17</v>
      </c>
      <c r="E16" s="24" t="s">
        <v>18</v>
      </c>
      <c r="F16" s="24" t="s">
        <v>19</v>
      </c>
      <c r="G16" s="24" t="s">
        <v>20</v>
      </c>
      <c r="H16" s="24" t="s">
        <v>21</v>
      </c>
      <c r="I16" s="24" t="s">
        <v>22</v>
      </c>
      <c r="J16" s="24" t="s">
        <v>23</v>
      </c>
      <c r="K16" s="24" t="s">
        <v>24</v>
      </c>
      <c r="L16" s="24" t="s">
        <v>25</v>
      </c>
    </row>
    <row r="17" customFormat="false" ht="15" hidden="false" customHeight="false" outlineLevel="0" collapsed="false">
      <c r="A17" s="12" t="n">
        <f aca="false">'Revenue Projection'!B7</f>
        <v>83665.36</v>
      </c>
      <c r="B17" s="12" t="n">
        <f aca="false">'Revenue Projection'!C7</f>
        <v>84293.28</v>
      </c>
      <c r="C17" s="12" t="n">
        <f aca="false">'Revenue Projection'!D7</f>
        <v>86621.35</v>
      </c>
      <c r="D17" s="12" t="n">
        <f aca="false">'Revenue Projection'!E7</f>
        <v>86922.05</v>
      </c>
      <c r="E17" s="12" t="n">
        <f aca="false">'Revenue Projection'!F7</f>
        <v>99162.85</v>
      </c>
      <c r="F17" s="12" t="n">
        <f aca="false">'Revenue Projection'!G7</f>
        <v>104355.8</v>
      </c>
      <c r="G17" s="12" t="n">
        <f aca="false">'Revenue Projection'!H7</f>
        <v>97485.35</v>
      </c>
      <c r="H17" s="12" t="n">
        <f aca="false">'Revenue Projection'!I7</f>
        <v>92276.85</v>
      </c>
      <c r="I17" s="12" t="n">
        <f aca="false">'Revenue Projection'!J7</f>
        <v>89317</v>
      </c>
      <c r="J17" s="12" t="n">
        <f aca="false">'Revenue Projection'!K7</f>
        <v>93354.8</v>
      </c>
      <c r="K17" s="12" t="n">
        <f aca="false">'Revenue Projection'!L7</f>
        <v>98322.15</v>
      </c>
      <c r="L17" s="12" t="n">
        <f aca="false">'Revenue Projection'!M7</f>
        <v>96375</v>
      </c>
    </row>
    <row r="19" customFormat="false" ht="15" hidden="false" customHeight="false" outlineLevel="0" collapsed="false">
      <c r="A19" s="25" t="s">
        <v>41</v>
      </c>
    </row>
    <row r="20" customFormat="false" ht="15" hidden="false" customHeight="false" outlineLevel="0" collapsed="false">
      <c r="A20" s="0" t="s">
        <v>4</v>
      </c>
      <c r="B20" s="12" t="n">
        <f aca="false">'Revenue Projection'!N2</f>
        <v>745536</v>
      </c>
    </row>
    <row r="21" customFormat="false" ht="15" hidden="false" customHeight="false" outlineLevel="0" collapsed="false">
      <c r="A21" s="0" t="s">
        <v>6</v>
      </c>
      <c r="B21" s="12" t="n">
        <f aca="false">'Revenue Projection'!N3</f>
        <v>53620</v>
      </c>
    </row>
    <row r="22" customFormat="false" ht="15" hidden="false" customHeight="false" outlineLevel="0" collapsed="false">
      <c r="A22" s="0" t="s">
        <v>8</v>
      </c>
      <c r="B22" s="12" t="n">
        <f aca="false">'Revenue Projection'!N4</f>
        <v>95273.84</v>
      </c>
    </row>
    <row r="23" customFormat="false" ht="15" hidden="false" customHeight="false" outlineLevel="0" collapsed="false">
      <c r="A23" s="0" t="s">
        <v>10</v>
      </c>
      <c r="B23" s="12" t="n">
        <f aca="false">'Revenue Projection'!N5</f>
        <v>106722</v>
      </c>
    </row>
    <row r="24" customFormat="false" ht="15" hidden="false" customHeight="false" outlineLevel="0" collapsed="false">
      <c r="A24" s="0" t="s">
        <v>12</v>
      </c>
      <c r="B24" s="12" t="n">
        <f aca="false">'Revenue Projection'!N6</f>
        <v>111000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2026-01-30T23:35:32Z</dcterms:created>
  <dc:creator>openpyxl</dc:creator>
  <dc:description/>
  <dc:language>en-US</dc:language>
  <cp:lastModifiedBy/>
  <dcterms:modified xsi:type="dcterms:W3CDTF">2026-01-30T23:35:32Z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