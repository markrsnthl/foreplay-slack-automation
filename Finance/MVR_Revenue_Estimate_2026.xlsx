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 Config" sheetId="1" state="visible" r:id="rId3"/>
    <sheet name="Ad Spend Input" sheetId="2" state="visible" r:id="rId4"/>
    <sheet name="Revenue Projection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<sst xmlns="http://schemas.openxmlformats.org/spreadsheetml/2006/main" count="136" uniqueCount="76">
  <si>
    <t xml:space="preserve">Client</t>
  </si>
  <si>
    <t xml:space="preserve">Pricing Model</t>
  </si>
  <si>
    <t xml:space="preserve">Base Retainer</t>
  </si>
  <si>
    <t xml:space="preserve">% of Ad Spend</t>
  </si>
  <si>
    <t xml:space="preserve">Commission/Discount</t>
  </si>
  <si>
    <t xml:space="preserve">Net %</t>
  </si>
  <si>
    <t xml:space="preserve">Notes</t>
  </si>
  <si>
    <t xml:space="preserve">Peddle</t>
  </si>
  <si>
    <t xml:space="preserve">% of Ad Spend + Creative</t>
  </si>
  <si>
    <t xml:space="preserve">Plus creative hours at $120/hr</t>
  </si>
  <si>
    <t xml:space="preserve">SUNFLOW</t>
  </si>
  <si>
    <t xml:space="preserve">% of Attributed Revenue</t>
  </si>
  <si>
    <t xml:space="preserve">Excludes branded search; +$450 Blotout</t>
  </si>
  <si>
    <t xml:space="preserve">Kaspar &amp; Lugay LLP</t>
  </si>
  <si>
    <t xml:space="preserve">Base + % of Ad Spend</t>
  </si>
  <si>
    <t xml:space="preserve">Plus CC processing fees</t>
  </si>
  <si>
    <t xml:space="preserve">Le Prunier</t>
  </si>
  <si>
    <t xml:space="preserve">Base + % Attributed Rev</t>
  </si>
  <si>
    <t xml:space="preserve">15% Breef commission reduces net</t>
  </si>
  <si>
    <t xml:space="preserve">Wrensilva</t>
  </si>
  <si>
    <t xml:space="preserve">Sonsie Skin</t>
  </si>
  <si>
    <t xml:space="preserve">Base + Revenue Share</t>
  </si>
  <si>
    <t xml:space="preserve">Variable rev share; +$350 Blotout</t>
  </si>
  <si>
    <t xml:space="preserve">Amrita</t>
  </si>
  <si>
    <t xml:space="preserve">Excludes branded search</t>
  </si>
  <si>
    <t xml:space="preserve">Pivot Door Company</t>
  </si>
  <si>
    <t xml:space="preserve">KIKI World</t>
  </si>
  <si>
    <t xml:space="preserve">LP Retail - Greenwich</t>
  </si>
  <si>
    <t xml:space="preserve">Flat Fee</t>
  </si>
  <si>
    <t xml:space="preserve">LP Retail - Stamford</t>
  </si>
  <si>
    <t xml:space="preserve">Bronx and Banco</t>
  </si>
  <si>
    <t xml:space="preserve">FMW Fasteners</t>
  </si>
  <si>
    <t xml:space="preserve">Plus CC processing fee</t>
  </si>
  <si>
    <t xml:space="preserve">[New Client 1]</t>
  </si>
  <si>
    <t xml:space="preserve">Update with actual</t>
  </si>
  <si>
    <t xml:space="preserve">[New Client 2]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</si>
  <si>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</si>
  <si>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</si>
  <si>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</si>
  <si>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</si>
  <si>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</si>
  <si>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</si>
  <si>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</si>
  <si>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</si>
  <si>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</si>
  <si>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</si>
  <si>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</si>
  <si>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</si>
  <si>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Total</t>
  </si>
  <si>
    <t xml:space="preserve">TOTAL AD SPEND</t>
  </si>
  <si>
    <t xml:space="preserve">TOTAL REVENUE</t>
  </si>
  <si>
    <t xml:space="preserve">MVR DIGITAL - 2026 REVENUE ESTIMATE DASHBOARD</t>
  </si>
  <si>
    <t xml:space="preserve">ANNUAL SUMMARY</t>
  </si>
  <si>
    <t xml:space="preserve">Projected Annual Revenue</t>
  </si>
  <si>
    <t xml:space="preserve">Monthly Average</t>
  </si>
  <si>
    <t xml:space="preserve">Total Ad Spend Managed</t>
  </si>
  <si>
    <t xml:space="preserve">Avg Effective Rate</t>
  </si>
  <si>
    <t xml:space="preserve">VS TARGETS</t>
  </si>
  <si>
    <t xml:space="preserve">Monthly Target</t>
  </si>
  <si>
    <t xml:space="preserve">Projected Monthly Avg</t>
  </si>
  <si>
    <t xml:space="preserve">Gap to Target</t>
  </si>
  <si>
    <t xml:space="preserve">% of Target</t>
  </si>
  <si>
    <t xml:space="preserve">MONTHLY REVENUE PROJECTION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</si>
  <si>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</si>
  <si>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</si>
  <si>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</si>
  <si>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</si>
  <si>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</si>
  <si>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</si>
  <si>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</si>
  <si>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</si>
  <si>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</si>
  <si>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</si>
  <si>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</si>
  <si>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</si>
  <si>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TOP CLIENTS (Projected Annual)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</si>
</sst>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\$#,##0;&quot;($&quot;#,##0\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6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sz val="11"/>
      <color rgb="FFFF0000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FFFFCC"/>
      </patternFill>
    </fill>
    <fill>
      <patternFill patternType="solid">
        <fgColor rgb="FF538135"/>
        <bgColor rgb="FF808000"/>
      </patternFill>
    </fill>
    <fill>
      <patternFill patternType="solid">
        <fgColor rgb="FF375623"/>
        <bgColor rgb="FF333300"/>
      </patternFill>
    </fill>
    <fill>
      <patternFill patternType="solid">
        <fgColor rgb="FFC6E0B4"/>
        <bgColor rgb="FFE2EFDA"/>
      </patternFill>
    </fill>
    <fill>
      <patternFill patternType="solid">
        <fgColor rgb="FFC65911"/>
        <bgColor rgb="FF993300"/>
      </patternFill>
    </fill>
    <fill>
      <patternFill patternType="solid">
        <fgColor rgb="FF7030A0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538135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2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2" t="n">
        <v>0</v>
      </c>
      <c r="D2" s="3" t="n">
        <v>0.055</v>
      </c>
      <c r="E2" s="3" t="n">
        <v>0</v>
      </c>
      <c r="F2" s="4" t="n">
        <f aca="false">D2*(1+E2)</f>
        <v>0.055</v>
      </c>
      <c r="G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2" t="n">
        <v>0</v>
      </c>
      <c r="D3" s="3" t="n">
        <v>0.07</v>
      </c>
      <c r="E3" s="3" t="n">
        <v>0</v>
      </c>
      <c r="F3" s="4" t="n">
        <f aca="false">D3*(1+E3)</f>
        <v>0.07</v>
      </c>
      <c r="G3" s="0" t="s">
        <v>12</v>
      </c>
    </row>
    <row r="4" customFormat="false" ht="15" hidden="false" customHeight="false" outlineLevel="0" collapsed="false">
      <c r="A4" s="0" t="s">
        <v>13</v>
      </c>
      <c r="B4" s="0" t="s">
        <v>14</v>
      </c>
      <c r="C4" s="2" t="n">
        <v>1000</v>
      </c>
      <c r="D4" s="3" t="n">
        <v>0.05</v>
      </c>
      <c r="E4" s="3" t="n">
        <v>0</v>
      </c>
      <c r="F4" s="4" t="n">
        <f aca="false">D4*(1+E4)</f>
        <v>0.05</v>
      </c>
      <c r="G4" s="0" t="s">
        <v>15</v>
      </c>
    </row>
    <row r="5" customFormat="false" ht="15" hidden="false" customHeight="false" outlineLevel="0" collapsed="false">
      <c r="A5" s="0" t="s">
        <v>16</v>
      </c>
      <c r="B5" s="0" t="s">
        <v>17</v>
      </c>
      <c r="C5" s="2" t="n">
        <v>3500</v>
      </c>
      <c r="D5" s="3" t="n">
        <v>0.07</v>
      </c>
      <c r="E5" s="3" t="n">
        <v>-0.15</v>
      </c>
      <c r="F5" s="4" t="n">
        <f aca="false">D5*(1+E5)</f>
        <v>0.0595</v>
      </c>
      <c r="G5" s="0" t="s">
        <v>18</v>
      </c>
    </row>
    <row r="6" customFormat="false" ht="15" hidden="false" customHeight="false" outlineLevel="0" collapsed="false">
      <c r="A6" s="0" t="s">
        <v>19</v>
      </c>
      <c r="B6" s="0" t="s">
        <v>17</v>
      </c>
      <c r="C6" s="2" t="n">
        <v>4000</v>
      </c>
      <c r="D6" s="3" t="n">
        <v>0.05</v>
      </c>
      <c r="E6" s="3" t="n">
        <v>0</v>
      </c>
      <c r="F6" s="4" t="n">
        <f aca="false">D6*(1+E6)</f>
        <v>0.05</v>
      </c>
    </row>
    <row r="7" customFormat="false" ht="15" hidden="false" customHeight="false" outlineLevel="0" collapsed="false">
      <c r="A7" s="0" t="s">
        <v>20</v>
      </c>
      <c r="B7" s="0" t="s">
        <v>21</v>
      </c>
      <c r="C7" s="2" t="n">
        <v>4000</v>
      </c>
      <c r="D7" s="3" t="n">
        <v>0.08</v>
      </c>
      <c r="E7" s="3" t="n">
        <v>0</v>
      </c>
      <c r="F7" s="4" t="n">
        <f aca="false">D7*(1+E7)</f>
        <v>0.08</v>
      </c>
      <c r="G7" s="0" t="s">
        <v>22</v>
      </c>
    </row>
    <row r="8" customFormat="false" ht="15" hidden="false" customHeight="false" outlineLevel="0" collapsed="false">
      <c r="A8" s="0" t="s">
        <v>23</v>
      </c>
      <c r="B8" s="0" t="s">
        <v>17</v>
      </c>
      <c r="C8" s="2" t="n">
        <v>3500</v>
      </c>
      <c r="D8" s="3" t="n">
        <v>0.1</v>
      </c>
      <c r="E8" s="3" t="n">
        <v>0</v>
      </c>
      <c r="F8" s="4" t="n">
        <f aca="false">D8*(1+E8)</f>
        <v>0.1</v>
      </c>
      <c r="G8" s="0" t="s">
        <v>24</v>
      </c>
    </row>
    <row r="9" customFormat="false" ht="15" hidden="false" customHeight="false" outlineLevel="0" collapsed="false">
      <c r="A9" s="0" t="s">
        <v>25</v>
      </c>
      <c r="B9" s="0" t="s">
        <v>3</v>
      </c>
      <c r="C9" s="2" t="n">
        <v>0</v>
      </c>
      <c r="D9" s="3" t="n">
        <v>0.06</v>
      </c>
      <c r="E9" s="3" t="n">
        <v>0</v>
      </c>
      <c r="F9" s="4" t="n">
        <f aca="false">D9*(1+E9)</f>
        <v>0.06</v>
      </c>
    </row>
    <row r="10" customFormat="false" ht="15" hidden="false" customHeight="false" outlineLevel="0" collapsed="false">
      <c r="A10" s="0" t="s">
        <v>26</v>
      </c>
      <c r="B10" s="0" t="s">
        <v>14</v>
      </c>
      <c r="C10" s="2" t="n">
        <v>2000</v>
      </c>
      <c r="D10" s="3" t="n">
        <v>0.1</v>
      </c>
      <c r="E10" s="3" t="n">
        <v>0</v>
      </c>
      <c r="F10" s="4" t="n">
        <f aca="false">D10*(1+E10)</f>
        <v>0.1</v>
      </c>
    </row>
    <row r="11" customFormat="false" ht="15" hidden="false" customHeight="false" outlineLevel="0" collapsed="false">
      <c r="A11" s="0" t="s">
        <v>27</v>
      </c>
      <c r="B11" s="0" t="s">
        <v>28</v>
      </c>
      <c r="C11" s="2" t="n">
        <v>2000</v>
      </c>
      <c r="D11" s="3" t="n">
        <v>0</v>
      </c>
      <c r="E11" s="3" t="n">
        <v>0</v>
      </c>
      <c r="F11" s="4" t="n">
        <f aca="false">D11*(1+E11)</f>
        <v>0</v>
      </c>
    </row>
    <row r="12" customFormat="false" ht="15" hidden="false" customHeight="false" outlineLevel="0" collapsed="false">
      <c r="A12" s="0" t="s">
        <v>29</v>
      </c>
      <c r="B12" s="0" t="s">
        <v>28</v>
      </c>
      <c r="C12" s="2" t="n">
        <v>2000</v>
      </c>
      <c r="D12" s="3" t="n">
        <v>0</v>
      </c>
      <c r="E12" s="3" t="n">
        <v>0</v>
      </c>
      <c r="F12" s="4" t="n">
        <f aca="false">D12*(1+E12)</f>
        <v>0</v>
      </c>
    </row>
    <row r="13" customFormat="false" ht="15" hidden="false" customHeight="false" outlineLevel="0" collapsed="false">
      <c r="A13" s="0" t="s">
        <v>30</v>
      </c>
      <c r="B13" s="0" t="s">
        <v>28</v>
      </c>
      <c r="C13" s="2" t="n">
        <v>1000</v>
      </c>
      <c r="D13" s="3" t="n">
        <v>0</v>
      </c>
      <c r="E13" s="3" t="n">
        <v>0</v>
      </c>
      <c r="F13" s="4" t="n">
        <f aca="false">D13*(1+E13)</f>
        <v>0</v>
      </c>
    </row>
    <row r="14" customFormat="false" ht="15" hidden="false" customHeight="false" outlineLevel="0" collapsed="false">
      <c r="A14" s="0" t="s">
        <v>31</v>
      </c>
      <c r="B14" s="0" t="s">
        <v>28</v>
      </c>
      <c r="C14" s="2" t="n">
        <v>1000</v>
      </c>
      <c r="D14" s="3" t="n">
        <v>0</v>
      </c>
      <c r="E14" s="3" t="n">
        <v>0</v>
      </c>
      <c r="F14" s="4" t="n">
        <f aca="false">D14*(1+E14)</f>
        <v>0</v>
      </c>
      <c r="G14" s="0" t="s">
        <v>32</v>
      </c>
    </row>
    <row r="15" customFormat="false" ht="15" hidden="false" customHeight="false" outlineLevel="0" collapsed="false">
      <c r="A15" s="0" t="s">
        <v>33</v>
      </c>
      <c r="B15" s="0" t="s">
        <v>14</v>
      </c>
      <c r="C15" s="2" t="n">
        <v>0</v>
      </c>
      <c r="D15" s="3" t="n">
        <v>0.05</v>
      </c>
      <c r="E15" s="3" t="n">
        <v>0</v>
      </c>
      <c r="F15" s="4" t="n">
        <f aca="false">D15*(1+E15)</f>
        <v>0.05</v>
      </c>
      <c r="G15" s="0" t="s">
        <v>34</v>
      </c>
    </row>
    <row r="16" customFormat="false" ht="15" hidden="false" customHeight="false" outlineLevel="0" collapsed="false">
      <c r="A16" s="0" t="s">
        <v>35</v>
      </c>
      <c r="B16" s="0" t="s">
        <v>14</v>
      </c>
      <c r="C16" s="2" t="n">
        <v>0</v>
      </c>
      <c r="D16" s="3" t="n">
        <v>0.05</v>
      </c>
      <c r="E16" s="3" t="n">
        <v>0</v>
      </c>
      <c r="F16" s="4" t="n">
        <f aca="false">D16*(1+E16)</f>
        <v>0.05</v>
      </c>
      <c r="G16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14" min="2" style="0" width="12"/>
  </cols>
  <sheetData>
    <row r="1" customFormat="false" ht="15" hidden="false" customHeight="false" outlineLevel="0" collapsed="false">
      <c r="A1" s="5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6" t="s">
        <v>48</v>
      </c>
    </row>
    <row r="2" customFormat="false" ht="15" hidden="false" customHeight="false" outlineLevel="0" collapsed="false">
      <c r="A2" s="5" t="s">
        <v>7</v>
      </c>
      <c r="B2" s="2" t="n">
        <v>700000</v>
      </c>
      <c r="C2" s="2" t="n">
        <v>720000</v>
      </c>
      <c r="D2" s="2" t="n">
        <v>750000</v>
      </c>
      <c r="E2" s="2" t="n">
        <v>780000</v>
      </c>
      <c r="F2" s="2" t="n">
        <v>800000</v>
      </c>
      <c r="G2" s="2" t="n">
        <v>850000</v>
      </c>
      <c r="H2" s="2" t="n">
        <v>900000</v>
      </c>
      <c r="I2" s="2" t="n">
        <v>950000</v>
      </c>
      <c r="J2" s="2" t="n">
        <v>900000</v>
      </c>
      <c r="K2" s="2" t="n">
        <v>850000</v>
      </c>
      <c r="L2" s="2" t="n">
        <v>900000</v>
      </c>
      <c r="M2" s="2" t="n">
        <v>950000</v>
      </c>
      <c r="N2" s="7" t="n">
        <f aca="false">SUM(B2:M2)</f>
        <v>10050000</v>
      </c>
    </row>
    <row r="3" customFormat="false" ht="15" hidden="false" customHeight="false" outlineLevel="0" collapsed="false">
      <c r="A3" s="5" t="s">
        <v>10</v>
      </c>
      <c r="B3" s="2" t="n">
        <v>20000</v>
      </c>
      <c r="C3" s="2" t="n">
        <v>25000</v>
      </c>
      <c r="D3" s="2" t="n">
        <v>40000</v>
      </c>
      <c r="E3" s="2" t="n">
        <v>60000</v>
      </c>
      <c r="F3" s="2" t="n">
        <v>80000</v>
      </c>
      <c r="G3" s="2" t="n">
        <v>100000</v>
      </c>
      <c r="H3" s="2" t="n">
        <v>120000</v>
      </c>
      <c r="I3" s="2" t="n">
        <v>100000</v>
      </c>
      <c r="J3" s="2" t="n">
        <v>60000</v>
      </c>
      <c r="K3" s="2" t="n">
        <v>30000</v>
      </c>
      <c r="L3" s="2" t="n">
        <v>40000</v>
      </c>
      <c r="M3" s="2" t="n">
        <v>80000</v>
      </c>
      <c r="N3" s="7" t="n">
        <f aca="false">SUM(B3:M3)</f>
        <v>755000</v>
      </c>
    </row>
    <row r="4" customFormat="false" ht="15" hidden="false" customHeight="false" outlineLevel="0" collapsed="false">
      <c r="A4" s="5" t="s">
        <v>13</v>
      </c>
      <c r="B4" s="2" t="n">
        <v>80000</v>
      </c>
      <c r="C4" s="2" t="n">
        <v>85000</v>
      </c>
      <c r="D4" s="2" t="n">
        <v>90000</v>
      </c>
      <c r="E4" s="2" t="n">
        <v>95000</v>
      </c>
      <c r="F4" s="2" t="n">
        <v>100000</v>
      </c>
      <c r="G4" s="2" t="n">
        <v>100000</v>
      </c>
      <c r="H4" s="2" t="n">
        <v>100000</v>
      </c>
      <c r="I4" s="2" t="n">
        <v>100000</v>
      </c>
      <c r="J4" s="2" t="n">
        <v>100000</v>
      </c>
      <c r="K4" s="2" t="n">
        <v>95000</v>
      </c>
      <c r="L4" s="2" t="n">
        <v>100000</v>
      </c>
      <c r="M4" s="2" t="n">
        <v>105000</v>
      </c>
      <c r="N4" s="7" t="n">
        <f aca="false">SUM(B4:M4)</f>
        <v>1150000</v>
      </c>
    </row>
    <row r="5" customFormat="false" ht="15" hidden="false" customHeight="false" outlineLevel="0" collapsed="false">
      <c r="A5" s="5" t="s">
        <v>16</v>
      </c>
      <c r="B5" s="2" t="n">
        <v>30000</v>
      </c>
      <c r="C5" s="2" t="n">
        <v>35000</v>
      </c>
      <c r="D5" s="2" t="n">
        <v>40000</v>
      </c>
      <c r="E5" s="2" t="n">
        <v>45000</v>
      </c>
      <c r="F5" s="2" t="n">
        <v>50000</v>
      </c>
      <c r="G5" s="2" t="n">
        <v>55000</v>
      </c>
      <c r="H5" s="2" t="n">
        <v>60000</v>
      </c>
      <c r="I5" s="2" t="n">
        <v>55000</v>
      </c>
      <c r="J5" s="2" t="n">
        <v>50000</v>
      </c>
      <c r="K5" s="2" t="n">
        <v>45000</v>
      </c>
      <c r="L5" s="2" t="n">
        <v>50000</v>
      </c>
      <c r="M5" s="2" t="n">
        <v>60000</v>
      </c>
      <c r="N5" s="7" t="n">
        <f aca="false">SUM(B5:M5)</f>
        <v>575000</v>
      </c>
    </row>
    <row r="6" customFormat="false" ht="15" hidden="false" customHeight="false" outlineLevel="0" collapsed="false">
      <c r="A6" s="5" t="s">
        <v>19</v>
      </c>
      <c r="B6" s="2" t="n">
        <v>40000</v>
      </c>
      <c r="C6" s="2" t="n">
        <v>45000</v>
      </c>
      <c r="D6" s="2" t="n">
        <v>50000</v>
      </c>
      <c r="E6" s="2" t="n">
        <v>55000</v>
      </c>
      <c r="F6" s="2" t="n">
        <v>60000</v>
      </c>
      <c r="G6" s="2" t="n">
        <v>70000</v>
      </c>
      <c r="H6" s="2" t="n">
        <v>80000</v>
      </c>
      <c r="I6" s="2" t="n">
        <v>90000</v>
      </c>
      <c r="J6" s="2" t="n">
        <v>100000</v>
      </c>
      <c r="K6" s="2" t="n">
        <v>120000</v>
      </c>
      <c r="L6" s="2" t="n">
        <v>130000</v>
      </c>
      <c r="M6" s="2" t="n">
        <v>150000</v>
      </c>
      <c r="N6" s="7" t="n">
        <f aca="false">SUM(B6:M6)</f>
        <v>990000</v>
      </c>
    </row>
    <row r="7" customFormat="false" ht="15" hidden="false" customHeight="false" outlineLevel="0" collapsed="false">
      <c r="A7" s="5" t="s">
        <v>20</v>
      </c>
      <c r="B7" s="2" t="n">
        <v>30000</v>
      </c>
      <c r="C7" s="2" t="n">
        <v>35000</v>
      </c>
      <c r="D7" s="2" t="n">
        <v>40000</v>
      </c>
      <c r="E7" s="2" t="n">
        <v>45000</v>
      </c>
      <c r="F7" s="2" t="n">
        <v>50000</v>
      </c>
      <c r="G7" s="2" t="n">
        <v>60000</v>
      </c>
      <c r="H7" s="2" t="n">
        <v>80000</v>
      </c>
      <c r="I7" s="2" t="n">
        <v>70000</v>
      </c>
      <c r="J7" s="2" t="n">
        <v>60000</v>
      </c>
      <c r="K7" s="2" t="n">
        <v>70000</v>
      </c>
      <c r="L7" s="2" t="n">
        <v>80000</v>
      </c>
      <c r="M7" s="2" t="n">
        <v>100000</v>
      </c>
      <c r="N7" s="7" t="n">
        <f aca="false">SUM(B7:M7)</f>
        <v>720000</v>
      </c>
    </row>
    <row r="8" customFormat="false" ht="15" hidden="false" customHeight="false" outlineLevel="0" collapsed="false">
      <c r="A8" s="5" t="s">
        <v>23</v>
      </c>
      <c r="B8" s="2" t="n">
        <v>20000</v>
      </c>
      <c r="C8" s="2" t="n">
        <v>22000</v>
      </c>
      <c r="D8" s="2" t="n">
        <v>25000</v>
      </c>
      <c r="E8" s="2" t="n">
        <v>28000</v>
      </c>
      <c r="F8" s="2" t="n">
        <v>30000</v>
      </c>
      <c r="G8" s="2" t="n">
        <v>35000</v>
      </c>
      <c r="H8" s="2" t="n">
        <v>40000</v>
      </c>
      <c r="I8" s="2" t="n">
        <v>45000</v>
      </c>
      <c r="J8" s="2" t="n">
        <v>40000</v>
      </c>
      <c r="K8" s="2" t="n">
        <v>35000</v>
      </c>
      <c r="L8" s="2" t="n">
        <v>40000</v>
      </c>
      <c r="M8" s="2" t="n">
        <v>50000</v>
      </c>
      <c r="N8" s="7" t="n">
        <f aca="false">SUM(B8:M8)</f>
        <v>410000</v>
      </c>
    </row>
    <row r="9" customFormat="false" ht="15" hidden="false" customHeight="false" outlineLevel="0" collapsed="false">
      <c r="A9" s="5" t="s">
        <v>25</v>
      </c>
      <c r="B9" s="2" t="n">
        <v>25000</v>
      </c>
      <c r="C9" s="2" t="n">
        <v>27000</v>
      </c>
      <c r="D9" s="2" t="n">
        <v>30000</v>
      </c>
      <c r="E9" s="2" t="n">
        <v>32000</v>
      </c>
      <c r="F9" s="2" t="n">
        <v>35000</v>
      </c>
      <c r="G9" s="2" t="n">
        <v>38000</v>
      </c>
      <c r="H9" s="2" t="n">
        <v>40000</v>
      </c>
      <c r="I9" s="2" t="n">
        <v>38000</v>
      </c>
      <c r="J9" s="2" t="n">
        <v>35000</v>
      </c>
      <c r="K9" s="2" t="n">
        <v>33000</v>
      </c>
      <c r="L9" s="2" t="n">
        <v>35000</v>
      </c>
      <c r="M9" s="2" t="n">
        <v>38000</v>
      </c>
      <c r="N9" s="7" t="n">
        <f aca="false">SUM(B9:M9)</f>
        <v>406000</v>
      </c>
    </row>
    <row r="10" customFormat="false" ht="15" hidden="false" customHeight="false" outlineLevel="0" collapsed="false">
      <c r="A10" s="5" t="s">
        <v>26</v>
      </c>
      <c r="B10" s="2" t="n">
        <v>15000</v>
      </c>
      <c r="C10" s="2" t="n">
        <v>18000</v>
      </c>
      <c r="D10" s="2" t="n">
        <v>20000</v>
      </c>
      <c r="E10" s="2" t="n">
        <v>22000</v>
      </c>
      <c r="F10" s="2" t="n">
        <v>25000</v>
      </c>
      <c r="G10" s="2" t="n">
        <v>28000</v>
      </c>
      <c r="H10" s="2" t="n">
        <v>30000</v>
      </c>
      <c r="I10" s="2" t="n">
        <v>28000</v>
      </c>
      <c r="J10" s="2" t="n">
        <v>25000</v>
      </c>
      <c r="K10" s="2" t="n">
        <v>22000</v>
      </c>
      <c r="L10" s="2" t="n">
        <v>20000</v>
      </c>
      <c r="M10" s="2" t="n">
        <v>25000</v>
      </c>
      <c r="N10" s="7" t="n">
        <f aca="false">SUM(B10:M10)</f>
        <v>278000</v>
      </c>
    </row>
    <row r="11" customFormat="false" ht="15" hidden="false" customHeight="false" outlineLevel="0" collapsed="false">
      <c r="A11" s="5" t="s">
        <v>27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7" t="n">
        <f aca="false">SUM(B11:M11)</f>
        <v>0</v>
      </c>
    </row>
    <row r="12" customFormat="false" ht="15" hidden="false" customHeight="false" outlineLevel="0" collapsed="false">
      <c r="A12" s="5" t="s">
        <v>29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7" t="n">
        <f aca="false">SUM(B12:M12)</f>
        <v>0</v>
      </c>
    </row>
    <row r="13" customFormat="false" ht="15" hidden="false" customHeight="false" outlineLevel="0" collapsed="false">
      <c r="A13" s="5" t="s">
        <v>30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7" t="n">
        <f aca="false">SUM(B13:M13)</f>
        <v>0</v>
      </c>
    </row>
    <row r="14" customFormat="false" ht="15" hidden="false" customHeight="false" outlineLevel="0" collapsed="false">
      <c r="A14" s="5" t="s">
        <v>31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7" t="n">
        <f aca="false">SUM(B14:M14)</f>
        <v>0</v>
      </c>
    </row>
    <row r="15" customFormat="false" ht="15" hidden="false" customHeight="false" outlineLevel="0" collapsed="false">
      <c r="A15" s="5" t="s">
        <v>33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7" t="n">
        <f aca="false">SUM(B15:M15)</f>
        <v>0</v>
      </c>
    </row>
    <row r="16" customFormat="false" ht="15" hidden="false" customHeight="false" outlineLevel="0" collapsed="false">
      <c r="A16" s="5" t="s">
        <v>35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7" t="n">
        <f aca="false">SUM(B16:M16)</f>
        <v>0</v>
      </c>
    </row>
    <row r="17" customFormat="false" ht="15" hidden="false" customHeight="false" outlineLevel="0" collapsed="false">
      <c r="A17" s="5" t="s">
        <v>49</v>
      </c>
      <c r="B17" s="8" t="n">
        <f aca="false">SUM(B2:B16)</f>
        <v>960000</v>
      </c>
      <c r="C17" s="8" t="n">
        <f aca="false">SUM(C2:C16)</f>
        <v>1012000</v>
      </c>
      <c r="D17" s="8" t="n">
        <f aca="false">SUM(D2:D16)</f>
        <v>1085000</v>
      </c>
      <c r="E17" s="8" t="n">
        <f aca="false">SUM(E2:E16)</f>
        <v>1162000</v>
      </c>
      <c r="F17" s="8" t="n">
        <f aca="false">SUM(F2:F16)</f>
        <v>1230000</v>
      </c>
      <c r="G17" s="8" t="n">
        <f aca="false">SUM(G2:G16)</f>
        <v>1336000</v>
      </c>
      <c r="H17" s="8" t="n">
        <f aca="false">SUM(H2:H16)</f>
        <v>1450000</v>
      </c>
      <c r="I17" s="8" t="n">
        <f aca="false">SUM(I2:I16)</f>
        <v>1476000</v>
      </c>
      <c r="J17" s="8" t="n">
        <f aca="false">SUM(J2:J16)</f>
        <v>1370000</v>
      </c>
      <c r="K17" s="8" t="n">
        <f aca="false">SUM(K2:K16)</f>
        <v>1300000</v>
      </c>
      <c r="L17" s="8" t="n">
        <f aca="false">SUM(L2:L16)</f>
        <v>1395000</v>
      </c>
      <c r="M17" s="8" t="n">
        <f aca="false">SUM(M2:M16)</f>
        <v>1558000</v>
      </c>
      <c r="N17" s="8" t="n">
        <f aca="false">SUM(N2:N16)</f>
        <v>15334000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14" min="2" style="0" width="12"/>
  </cols>
  <sheetData>
    <row r="1" customFormat="false" ht="15" hidden="false" customHeight="false" outlineLevel="0" collapsed="false">
      <c r="A1" s="5" t="s">
        <v>0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43</v>
      </c>
      <c r="J1" s="9" t="s">
        <v>44</v>
      </c>
      <c r="K1" s="9" t="s">
        <v>45</v>
      </c>
      <c r="L1" s="9" t="s">
        <v>46</v>
      </c>
      <c r="M1" s="9" t="s">
        <v>47</v>
      </c>
      <c r="N1" s="10" t="s">
        <v>48</v>
      </c>
    </row>
    <row r="2" customFormat="false" ht="15" hidden="false" customHeight="false" outlineLevel="0" collapsed="false">
      <c r="A2" s="5" t="s">
        <v>7</v>
      </c>
      <c r="B2" s="11" t="n">
        <f aca="false">'Client Config'!$C$2+'Ad Spend Input'!B2*'Client Config'!$F$2</f>
        <v>38500</v>
      </c>
      <c r="C2" s="11" t="n">
        <f aca="false">'Client Config'!$C$2+'Ad Spend Input'!C2*'Client Config'!$F$2</f>
        <v>39600</v>
      </c>
      <c r="D2" s="11" t="n">
        <f aca="false">'Client Config'!$C$2+'Ad Spend Input'!D2*'Client Config'!$F$2</f>
        <v>41250</v>
      </c>
      <c r="E2" s="11" t="n">
        <f aca="false">'Client Config'!$C$2+'Ad Spend Input'!E2*'Client Config'!$F$2</f>
        <v>42900</v>
      </c>
      <c r="F2" s="11" t="n">
        <f aca="false">'Client Config'!$C$2+'Ad Spend Input'!F2*'Client Config'!$F$2</f>
        <v>44000</v>
      </c>
      <c r="G2" s="11" t="n">
        <f aca="false">'Client Config'!$C$2+'Ad Spend Input'!G2*'Client Config'!$F$2</f>
        <v>46750</v>
      </c>
      <c r="H2" s="11" t="n">
        <f aca="false">'Client Config'!$C$2+'Ad Spend Input'!H2*'Client Config'!$F$2</f>
        <v>49500</v>
      </c>
      <c r="I2" s="11" t="n">
        <f aca="false">'Client Config'!$C$2+'Ad Spend Input'!I2*'Client Config'!$F$2</f>
        <v>52250</v>
      </c>
      <c r="J2" s="11" t="n">
        <f aca="false">'Client Config'!$C$2+'Ad Spend Input'!J2*'Client Config'!$F$2</f>
        <v>49500</v>
      </c>
      <c r="K2" s="11" t="n">
        <f aca="false">'Client Config'!$C$2+'Ad Spend Input'!K2*'Client Config'!$F$2</f>
        <v>46750</v>
      </c>
      <c r="L2" s="11" t="n">
        <f aca="false">'Client Config'!$C$2+'Ad Spend Input'!L2*'Client Config'!$F$2</f>
        <v>49500</v>
      </c>
      <c r="M2" s="11" t="n">
        <f aca="false">'Client Config'!$C$2+'Ad Spend Input'!M2*'Client Config'!$F$2</f>
        <v>52250</v>
      </c>
      <c r="N2" s="7" t="n">
        <f aca="false">SUM(B2:M2)</f>
        <v>552750</v>
      </c>
    </row>
    <row r="3" customFormat="false" ht="15" hidden="false" customHeight="false" outlineLevel="0" collapsed="false">
      <c r="A3" s="5" t="s">
        <v>10</v>
      </c>
      <c r="B3" s="11" t="n">
        <f aca="false">'Client Config'!$C$3+'Ad Spend Input'!B3*'Client Config'!$F$3</f>
        <v>1400</v>
      </c>
      <c r="C3" s="11" t="n">
        <f aca="false">'Client Config'!$C$3+'Ad Spend Input'!C3*'Client Config'!$F$3</f>
        <v>1750</v>
      </c>
      <c r="D3" s="11" t="n">
        <f aca="false">'Client Config'!$C$3+'Ad Spend Input'!D3*'Client Config'!$F$3</f>
        <v>2800</v>
      </c>
      <c r="E3" s="11" t="n">
        <f aca="false">'Client Config'!$C$3+'Ad Spend Input'!E3*'Client Config'!$F$3</f>
        <v>4200</v>
      </c>
      <c r="F3" s="11" t="n">
        <f aca="false">'Client Config'!$C$3+'Ad Spend Input'!F3*'Client Config'!$F$3</f>
        <v>5600</v>
      </c>
      <c r="G3" s="11" t="n">
        <f aca="false">'Client Config'!$C$3+'Ad Spend Input'!G3*'Client Config'!$F$3</f>
        <v>7000</v>
      </c>
      <c r="H3" s="11" t="n">
        <f aca="false">'Client Config'!$C$3+'Ad Spend Input'!H3*'Client Config'!$F$3</f>
        <v>8400</v>
      </c>
      <c r="I3" s="11" t="n">
        <f aca="false">'Client Config'!$C$3+'Ad Spend Input'!I3*'Client Config'!$F$3</f>
        <v>7000</v>
      </c>
      <c r="J3" s="11" t="n">
        <f aca="false">'Client Config'!$C$3+'Ad Spend Input'!J3*'Client Config'!$F$3</f>
        <v>4200</v>
      </c>
      <c r="K3" s="11" t="n">
        <f aca="false">'Client Config'!$C$3+'Ad Spend Input'!K3*'Client Config'!$F$3</f>
        <v>2100</v>
      </c>
      <c r="L3" s="11" t="n">
        <f aca="false">'Client Config'!$C$3+'Ad Spend Input'!L3*'Client Config'!$F$3</f>
        <v>2800</v>
      </c>
      <c r="M3" s="11" t="n">
        <f aca="false">'Client Config'!$C$3+'Ad Spend Input'!M3*'Client Config'!$F$3</f>
        <v>5600</v>
      </c>
      <c r="N3" s="7" t="n">
        <f aca="false">SUM(B3:M3)</f>
        <v>52850</v>
      </c>
    </row>
    <row r="4" customFormat="false" ht="15" hidden="false" customHeight="false" outlineLevel="0" collapsed="false">
      <c r="A4" s="5" t="s">
        <v>13</v>
      </c>
      <c r="B4" s="11" t="n">
        <f aca="false">'Client Config'!$C$4+'Ad Spend Input'!B4*'Client Config'!$F$4</f>
        <v>5000</v>
      </c>
      <c r="C4" s="11" t="n">
        <f aca="false">'Client Config'!$C$4+'Ad Spend Input'!C4*'Client Config'!$F$4</f>
        <v>5250</v>
      </c>
      <c r="D4" s="11" t="n">
        <f aca="false">'Client Config'!$C$4+'Ad Spend Input'!D4*'Client Config'!$F$4</f>
        <v>5500</v>
      </c>
      <c r="E4" s="11" t="n">
        <f aca="false">'Client Config'!$C$4+'Ad Spend Input'!E4*'Client Config'!$F$4</f>
        <v>5750</v>
      </c>
      <c r="F4" s="11" t="n">
        <f aca="false">'Client Config'!$C$4+'Ad Spend Input'!F4*'Client Config'!$F$4</f>
        <v>6000</v>
      </c>
      <c r="G4" s="11" t="n">
        <f aca="false">'Client Config'!$C$4+'Ad Spend Input'!G4*'Client Config'!$F$4</f>
        <v>6000</v>
      </c>
      <c r="H4" s="11" t="n">
        <f aca="false">'Client Config'!$C$4+'Ad Spend Input'!H4*'Client Config'!$F$4</f>
        <v>6000</v>
      </c>
      <c r="I4" s="11" t="n">
        <f aca="false">'Client Config'!$C$4+'Ad Spend Input'!I4*'Client Config'!$F$4</f>
        <v>6000</v>
      </c>
      <c r="J4" s="11" t="n">
        <f aca="false">'Client Config'!$C$4+'Ad Spend Input'!J4*'Client Config'!$F$4</f>
        <v>6000</v>
      </c>
      <c r="K4" s="11" t="n">
        <f aca="false">'Client Config'!$C$4+'Ad Spend Input'!K4*'Client Config'!$F$4</f>
        <v>5750</v>
      </c>
      <c r="L4" s="11" t="n">
        <f aca="false">'Client Config'!$C$4+'Ad Spend Input'!L4*'Client Config'!$F$4</f>
        <v>6000</v>
      </c>
      <c r="M4" s="11" t="n">
        <f aca="false">'Client Config'!$C$4+'Ad Spend Input'!M4*'Client Config'!$F$4</f>
        <v>6250</v>
      </c>
      <c r="N4" s="7" t="n">
        <f aca="false">SUM(B4:M4)</f>
        <v>69500</v>
      </c>
    </row>
    <row r="5" customFormat="false" ht="15" hidden="false" customHeight="false" outlineLevel="0" collapsed="false">
      <c r="A5" s="5" t="s">
        <v>16</v>
      </c>
      <c r="B5" s="11" t="n">
        <f aca="false">'Client Config'!$C$5+'Ad Spend Input'!B5*'Client Config'!$F$5</f>
        <v>5285</v>
      </c>
      <c r="C5" s="11" t="n">
        <f aca="false">'Client Config'!$C$5+'Ad Spend Input'!C5*'Client Config'!$F$5</f>
        <v>5582.5</v>
      </c>
      <c r="D5" s="11" t="n">
        <f aca="false">'Client Config'!$C$5+'Ad Spend Input'!D5*'Client Config'!$F$5</f>
        <v>5880</v>
      </c>
      <c r="E5" s="11" t="n">
        <f aca="false">'Client Config'!$C$5+'Ad Spend Input'!E5*'Client Config'!$F$5</f>
        <v>6177.5</v>
      </c>
      <c r="F5" s="11" t="n">
        <f aca="false">'Client Config'!$C$5+'Ad Spend Input'!F5*'Client Config'!$F$5</f>
        <v>6475</v>
      </c>
      <c r="G5" s="11" t="n">
        <f aca="false">'Client Config'!$C$5+'Ad Spend Input'!G5*'Client Config'!$F$5</f>
        <v>6772.5</v>
      </c>
      <c r="H5" s="11" t="n">
        <f aca="false">'Client Config'!$C$5+'Ad Spend Input'!H5*'Client Config'!$F$5</f>
        <v>7070</v>
      </c>
      <c r="I5" s="11" t="n">
        <f aca="false">'Client Config'!$C$5+'Ad Spend Input'!I5*'Client Config'!$F$5</f>
        <v>6772.5</v>
      </c>
      <c r="J5" s="11" t="n">
        <f aca="false">'Client Config'!$C$5+'Ad Spend Input'!J5*'Client Config'!$F$5</f>
        <v>6475</v>
      </c>
      <c r="K5" s="11" t="n">
        <f aca="false">'Client Config'!$C$5+'Ad Spend Input'!K5*'Client Config'!$F$5</f>
        <v>6177.5</v>
      </c>
      <c r="L5" s="11" t="n">
        <f aca="false">'Client Config'!$C$5+'Ad Spend Input'!L5*'Client Config'!$F$5</f>
        <v>6475</v>
      </c>
      <c r="M5" s="11" t="n">
        <f aca="false">'Client Config'!$C$5+'Ad Spend Input'!M5*'Client Config'!$F$5</f>
        <v>7070</v>
      </c>
      <c r="N5" s="7" t="n">
        <f aca="false">SUM(B5:M5)</f>
        <v>76212.5</v>
      </c>
    </row>
    <row r="6" customFormat="false" ht="15" hidden="false" customHeight="false" outlineLevel="0" collapsed="false">
      <c r="A6" s="5" t="s">
        <v>19</v>
      </c>
      <c r="B6" s="11" t="n">
        <f aca="false">'Client Config'!$C$6+'Ad Spend Input'!B6*'Client Config'!$F$6</f>
        <v>6000</v>
      </c>
      <c r="C6" s="11" t="n">
        <f aca="false">'Client Config'!$C$6+'Ad Spend Input'!C6*'Client Config'!$F$6</f>
        <v>6250</v>
      </c>
      <c r="D6" s="11" t="n">
        <f aca="false">'Client Config'!$C$6+'Ad Spend Input'!D6*'Client Config'!$F$6</f>
        <v>6500</v>
      </c>
      <c r="E6" s="11" t="n">
        <f aca="false">'Client Config'!$C$6+'Ad Spend Input'!E6*'Client Config'!$F$6</f>
        <v>6750</v>
      </c>
      <c r="F6" s="11" t="n">
        <f aca="false">'Client Config'!$C$6+'Ad Spend Input'!F6*'Client Config'!$F$6</f>
        <v>7000</v>
      </c>
      <c r="G6" s="11" t="n">
        <f aca="false">'Client Config'!$C$6+'Ad Spend Input'!G6*'Client Config'!$F$6</f>
        <v>7500</v>
      </c>
      <c r="H6" s="11" t="n">
        <f aca="false">'Client Config'!$C$6+'Ad Spend Input'!H6*'Client Config'!$F$6</f>
        <v>8000</v>
      </c>
      <c r="I6" s="11" t="n">
        <f aca="false">'Client Config'!$C$6+'Ad Spend Input'!I6*'Client Config'!$F$6</f>
        <v>8500</v>
      </c>
      <c r="J6" s="11" t="n">
        <f aca="false">'Client Config'!$C$6+'Ad Spend Input'!J6*'Client Config'!$F$6</f>
        <v>9000</v>
      </c>
      <c r="K6" s="11" t="n">
        <f aca="false">'Client Config'!$C$6+'Ad Spend Input'!K6*'Client Config'!$F$6</f>
        <v>10000</v>
      </c>
      <c r="L6" s="11" t="n">
        <f aca="false">'Client Config'!$C$6+'Ad Spend Input'!L6*'Client Config'!$F$6</f>
        <v>10500</v>
      </c>
      <c r="M6" s="11" t="n">
        <f aca="false">'Client Config'!$C$6+'Ad Spend Input'!M6*'Client Config'!$F$6</f>
        <v>11500</v>
      </c>
      <c r="N6" s="7" t="n">
        <f aca="false">SUM(B6:M6)</f>
        <v>97500</v>
      </c>
    </row>
    <row r="7" customFormat="false" ht="15" hidden="false" customHeight="false" outlineLevel="0" collapsed="false">
      <c r="A7" s="5" t="s">
        <v>20</v>
      </c>
      <c r="B7" s="11" t="n">
        <f aca="false">'Client Config'!$C$7+'Ad Spend Input'!B7*'Client Config'!$F$7</f>
        <v>6400</v>
      </c>
      <c r="C7" s="11" t="n">
        <f aca="false">'Client Config'!$C$7+'Ad Spend Input'!C7*'Client Config'!$F$7</f>
        <v>6800</v>
      </c>
      <c r="D7" s="11" t="n">
        <f aca="false">'Client Config'!$C$7+'Ad Spend Input'!D7*'Client Config'!$F$7</f>
        <v>7200</v>
      </c>
      <c r="E7" s="11" t="n">
        <f aca="false">'Client Config'!$C$7+'Ad Spend Input'!E7*'Client Config'!$F$7</f>
        <v>7600</v>
      </c>
      <c r="F7" s="11" t="n">
        <f aca="false">'Client Config'!$C$7+'Ad Spend Input'!F7*'Client Config'!$F$7</f>
        <v>8000</v>
      </c>
      <c r="G7" s="11" t="n">
        <f aca="false">'Client Config'!$C$7+'Ad Spend Input'!G7*'Client Config'!$F$7</f>
        <v>8800</v>
      </c>
      <c r="H7" s="11" t="n">
        <f aca="false">'Client Config'!$C$7+'Ad Spend Input'!H7*'Client Config'!$F$7</f>
        <v>10400</v>
      </c>
      <c r="I7" s="11" t="n">
        <f aca="false">'Client Config'!$C$7+'Ad Spend Input'!I7*'Client Config'!$F$7</f>
        <v>9600</v>
      </c>
      <c r="J7" s="11" t="n">
        <f aca="false">'Client Config'!$C$7+'Ad Spend Input'!J7*'Client Config'!$F$7</f>
        <v>8800</v>
      </c>
      <c r="K7" s="11" t="n">
        <f aca="false">'Client Config'!$C$7+'Ad Spend Input'!K7*'Client Config'!$F$7</f>
        <v>9600</v>
      </c>
      <c r="L7" s="11" t="n">
        <f aca="false">'Client Config'!$C$7+'Ad Spend Input'!L7*'Client Config'!$F$7</f>
        <v>10400</v>
      </c>
      <c r="M7" s="11" t="n">
        <f aca="false">'Client Config'!$C$7+'Ad Spend Input'!M7*'Client Config'!$F$7</f>
        <v>12000</v>
      </c>
      <c r="N7" s="7" t="n">
        <f aca="false">SUM(B7:M7)</f>
        <v>105600</v>
      </c>
    </row>
    <row r="8" customFormat="false" ht="15" hidden="false" customHeight="false" outlineLevel="0" collapsed="false">
      <c r="A8" s="5" t="s">
        <v>23</v>
      </c>
      <c r="B8" s="11" t="n">
        <f aca="false">'Client Config'!$C$8+'Ad Spend Input'!B8*'Client Config'!$F$8</f>
        <v>5500</v>
      </c>
      <c r="C8" s="11" t="n">
        <f aca="false">'Client Config'!$C$8+'Ad Spend Input'!C8*'Client Config'!$F$8</f>
        <v>5700</v>
      </c>
      <c r="D8" s="11" t="n">
        <f aca="false">'Client Config'!$C$8+'Ad Spend Input'!D8*'Client Config'!$F$8</f>
        <v>6000</v>
      </c>
      <c r="E8" s="11" t="n">
        <f aca="false">'Client Config'!$C$8+'Ad Spend Input'!E8*'Client Config'!$F$8</f>
        <v>6300</v>
      </c>
      <c r="F8" s="11" t="n">
        <f aca="false">'Client Config'!$C$8+'Ad Spend Input'!F8*'Client Config'!$F$8</f>
        <v>6500</v>
      </c>
      <c r="G8" s="11" t="n">
        <f aca="false">'Client Config'!$C$8+'Ad Spend Input'!G8*'Client Config'!$F$8</f>
        <v>7000</v>
      </c>
      <c r="H8" s="11" t="n">
        <f aca="false">'Client Config'!$C$8+'Ad Spend Input'!H8*'Client Config'!$F$8</f>
        <v>7500</v>
      </c>
      <c r="I8" s="11" t="n">
        <f aca="false">'Client Config'!$C$8+'Ad Spend Input'!I8*'Client Config'!$F$8</f>
        <v>8000</v>
      </c>
      <c r="J8" s="11" t="n">
        <f aca="false">'Client Config'!$C$8+'Ad Spend Input'!J8*'Client Config'!$F$8</f>
        <v>7500</v>
      </c>
      <c r="K8" s="11" t="n">
        <f aca="false">'Client Config'!$C$8+'Ad Spend Input'!K8*'Client Config'!$F$8</f>
        <v>7000</v>
      </c>
      <c r="L8" s="11" t="n">
        <f aca="false">'Client Config'!$C$8+'Ad Spend Input'!L8*'Client Config'!$F$8</f>
        <v>7500</v>
      </c>
      <c r="M8" s="11" t="n">
        <f aca="false">'Client Config'!$C$8+'Ad Spend Input'!M8*'Client Config'!$F$8</f>
        <v>8500</v>
      </c>
      <c r="N8" s="7" t="n">
        <f aca="false">SUM(B8:M8)</f>
        <v>83000</v>
      </c>
    </row>
    <row r="9" customFormat="false" ht="15" hidden="false" customHeight="false" outlineLevel="0" collapsed="false">
      <c r="A9" s="5" t="s">
        <v>25</v>
      </c>
      <c r="B9" s="11" t="n">
        <f aca="false">'Client Config'!$C$9+'Ad Spend Input'!B9*'Client Config'!$F$9</f>
        <v>1500</v>
      </c>
      <c r="C9" s="11" t="n">
        <f aca="false">'Client Config'!$C$9+'Ad Spend Input'!C9*'Client Config'!$F$9</f>
        <v>1620</v>
      </c>
      <c r="D9" s="11" t="n">
        <f aca="false">'Client Config'!$C$9+'Ad Spend Input'!D9*'Client Config'!$F$9</f>
        <v>1800</v>
      </c>
      <c r="E9" s="11" t="n">
        <f aca="false">'Client Config'!$C$9+'Ad Spend Input'!E9*'Client Config'!$F$9</f>
        <v>1920</v>
      </c>
      <c r="F9" s="11" t="n">
        <f aca="false">'Client Config'!$C$9+'Ad Spend Input'!F9*'Client Config'!$F$9</f>
        <v>2100</v>
      </c>
      <c r="G9" s="11" t="n">
        <f aca="false">'Client Config'!$C$9+'Ad Spend Input'!G9*'Client Config'!$F$9</f>
        <v>2280</v>
      </c>
      <c r="H9" s="11" t="n">
        <f aca="false">'Client Config'!$C$9+'Ad Spend Input'!H9*'Client Config'!$F$9</f>
        <v>2400</v>
      </c>
      <c r="I9" s="11" t="n">
        <f aca="false">'Client Config'!$C$9+'Ad Spend Input'!I9*'Client Config'!$F$9</f>
        <v>2280</v>
      </c>
      <c r="J9" s="11" t="n">
        <f aca="false">'Client Config'!$C$9+'Ad Spend Input'!J9*'Client Config'!$F$9</f>
        <v>2100</v>
      </c>
      <c r="K9" s="11" t="n">
        <f aca="false">'Client Config'!$C$9+'Ad Spend Input'!K9*'Client Config'!$F$9</f>
        <v>1980</v>
      </c>
      <c r="L9" s="11" t="n">
        <f aca="false">'Client Config'!$C$9+'Ad Spend Input'!L9*'Client Config'!$F$9</f>
        <v>2100</v>
      </c>
      <c r="M9" s="11" t="n">
        <f aca="false">'Client Config'!$C$9+'Ad Spend Input'!M9*'Client Config'!$F$9</f>
        <v>2280</v>
      </c>
      <c r="N9" s="7" t="n">
        <f aca="false">SUM(B9:M9)</f>
        <v>24360</v>
      </c>
    </row>
    <row r="10" customFormat="false" ht="15" hidden="false" customHeight="false" outlineLevel="0" collapsed="false">
      <c r="A10" s="5" t="s">
        <v>26</v>
      </c>
      <c r="B10" s="11" t="n">
        <f aca="false">'Client Config'!$C$10+'Ad Spend Input'!B10*'Client Config'!$F$10</f>
        <v>3500</v>
      </c>
      <c r="C10" s="11" t="n">
        <f aca="false">'Client Config'!$C$10+'Ad Spend Input'!C10*'Client Config'!$F$10</f>
        <v>3800</v>
      </c>
      <c r="D10" s="11" t="n">
        <f aca="false">'Client Config'!$C$10+'Ad Spend Input'!D10*'Client Config'!$F$10</f>
        <v>4000</v>
      </c>
      <c r="E10" s="11" t="n">
        <f aca="false">'Client Config'!$C$10+'Ad Spend Input'!E10*'Client Config'!$F$10</f>
        <v>4200</v>
      </c>
      <c r="F10" s="11" t="n">
        <f aca="false">'Client Config'!$C$10+'Ad Spend Input'!F10*'Client Config'!$F$10</f>
        <v>4500</v>
      </c>
      <c r="G10" s="11" t="n">
        <f aca="false">'Client Config'!$C$10+'Ad Spend Input'!G10*'Client Config'!$F$10</f>
        <v>4800</v>
      </c>
      <c r="H10" s="11" t="n">
        <f aca="false">'Client Config'!$C$10+'Ad Spend Input'!H10*'Client Config'!$F$10</f>
        <v>5000</v>
      </c>
      <c r="I10" s="11" t="n">
        <f aca="false">'Client Config'!$C$10+'Ad Spend Input'!I10*'Client Config'!$F$10</f>
        <v>4800</v>
      </c>
      <c r="J10" s="11" t="n">
        <f aca="false">'Client Config'!$C$10+'Ad Spend Input'!J10*'Client Config'!$F$10</f>
        <v>4500</v>
      </c>
      <c r="K10" s="11" t="n">
        <f aca="false">'Client Config'!$C$10+'Ad Spend Input'!K10*'Client Config'!$F$10</f>
        <v>4200</v>
      </c>
      <c r="L10" s="11" t="n">
        <f aca="false">'Client Config'!$C$10+'Ad Spend Input'!L10*'Client Config'!$F$10</f>
        <v>4000</v>
      </c>
      <c r="M10" s="11" t="n">
        <f aca="false">'Client Config'!$C$10+'Ad Spend Input'!M10*'Client Config'!$F$10</f>
        <v>4500</v>
      </c>
      <c r="N10" s="7" t="n">
        <f aca="false">SUM(B10:M10)</f>
        <v>51800</v>
      </c>
    </row>
    <row r="11" customFormat="false" ht="15" hidden="false" customHeight="false" outlineLevel="0" collapsed="false">
      <c r="A11" s="5" t="s">
        <v>27</v>
      </c>
      <c r="B11" s="11" t="n">
        <f aca="false">'Client Config'!$C$11+'Ad Spend Input'!B11*'Client Config'!$F$11</f>
        <v>2000</v>
      </c>
      <c r="C11" s="11" t="n">
        <f aca="false">'Client Config'!$C$11+'Ad Spend Input'!C11*'Client Config'!$F$11</f>
        <v>2000</v>
      </c>
      <c r="D11" s="11" t="n">
        <f aca="false">'Client Config'!$C$11+'Ad Spend Input'!D11*'Client Config'!$F$11</f>
        <v>2000</v>
      </c>
      <c r="E11" s="11" t="n">
        <f aca="false">'Client Config'!$C$11+'Ad Spend Input'!E11*'Client Config'!$F$11</f>
        <v>2000</v>
      </c>
      <c r="F11" s="11" t="n">
        <f aca="false">'Client Config'!$C$11+'Ad Spend Input'!F11*'Client Config'!$F$11</f>
        <v>2000</v>
      </c>
      <c r="G11" s="11" t="n">
        <f aca="false">'Client Config'!$C$11+'Ad Spend Input'!G11*'Client Config'!$F$11</f>
        <v>2000</v>
      </c>
      <c r="H11" s="11" t="n">
        <f aca="false">'Client Config'!$C$11+'Ad Spend Input'!H11*'Client Config'!$F$11</f>
        <v>2000</v>
      </c>
      <c r="I11" s="11" t="n">
        <f aca="false">'Client Config'!$C$11+'Ad Spend Input'!I11*'Client Config'!$F$11</f>
        <v>2000</v>
      </c>
      <c r="J11" s="11" t="n">
        <f aca="false">'Client Config'!$C$11+'Ad Spend Input'!J11*'Client Config'!$F$11</f>
        <v>2000</v>
      </c>
      <c r="K11" s="11" t="n">
        <f aca="false">'Client Config'!$C$11+'Ad Spend Input'!K11*'Client Config'!$F$11</f>
        <v>2000</v>
      </c>
      <c r="L11" s="11" t="n">
        <f aca="false">'Client Config'!$C$11+'Ad Spend Input'!L11*'Client Config'!$F$11</f>
        <v>2000</v>
      </c>
      <c r="M11" s="11" t="n">
        <f aca="false">'Client Config'!$C$11+'Ad Spend Input'!M11*'Client Config'!$F$11</f>
        <v>2000</v>
      </c>
      <c r="N11" s="7" t="n">
        <f aca="false">SUM(B11:M11)</f>
        <v>24000</v>
      </c>
    </row>
    <row r="12" customFormat="false" ht="15" hidden="false" customHeight="false" outlineLevel="0" collapsed="false">
      <c r="A12" s="5" t="s">
        <v>29</v>
      </c>
      <c r="B12" s="11" t="n">
        <f aca="false">'Client Config'!$C$12+'Ad Spend Input'!B12*'Client Config'!$F$12</f>
        <v>2000</v>
      </c>
      <c r="C12" s="11" t="n">
        <f aca="false">'Client Config'!$C$12+'Ad Spend Input'!C12*'Client Config'!$F$12</f>
        <v>2000</v>
      </c>
      <c r="D12" s="11" t="n">
        <f aca="false">'Client Config'!$C$12+'Ad Spend Input'!D12*'Client Config'!$F$12</f>
        <v>2000</v>
      </c>
      <c r="E12" s="11" t="n">
        <f aca="false">'Client Config'!$C$12+'Ad Spend Input'!E12*'Client Config'!$F$12</f>
        <v>2000</v>
      </c>
      <c r="F12" s="11" t="n">
        <f aca="false">'Client Config'!$C$12+'Ad Spend Input'!F12*'Client Config'!$F$12</f>
        <v>2000</v>
      </c>
      <c r="G12" s="11" t="n">
        <f aca="false">'Client Config'!$C$12+'Ad Spend Input'!G12*'Client Config'!$F$12</f>
        <v>2000</v>
      </c>
      <c r="H12" s="11" t="n">
        <f aca="false">'Client Config'!$C$12+'Ad Spend Input'!H12*'Client Config'!$F$12</f>
        <v>2000</v>
      </c>
      <c r="I12" s="11" t="n">
        <f aca="false">'Client Config'!$C$12+'Ad Spend Input'!I12*'Client Config'!$F$12</f>
        <v>2000</v>
      </c>
      <c r="J12" s="11" t="n">
        <f aca="false">'Client Config'!$C$12+'Ad Spend Input'!J12*'Client Config'!$F$12</f>
        <v>2000</v>
      </c>
      <c r="K12" s="11" t="n">
        <f aca="false">'Client Config'!$C$12+'Ad Spend Input'!K12*'Client Config'!$F$12</f>
        <v>2000</v>
      </c>
      <c r="L12" s="11" t="n">
        <f aca="false">'Client Config'!$C$12+'Ad Spend Input'!L12*'Client Config'!$F$12</f>
        <v>2000</v>
      </c>
      <c r="M12" s="11" t="n">
        <f aca="false">'Client Config'!$C$12+'Ad Spend Input'!M12*'Client Config'!$F$12</f>
        <v>2000</v>
      </c>
      <c r="N12" s="7" t="n">
        <f aca="false">SUM(B12:M12)</f>
        <v>24000</v>
      </c>
    </row>
    <row r="13" customFormat="false" ht="15" hidden="false" customHeight="false" outlineLevel="0" collapsed="false">
      <c r="A13" s="5" t="s">
        <v>30</v>
      </c>
      <c r="B13" s="11" t="n">
        <f aca="false">'Client Config'!$C$13+'Ad Spend Input'!B13*'Client Config'!$F$13</f>
        <v>1000</v>
      </c>
      <c r="C13" s="11" t="n">
        <f aca="false">'Client Config'!$C$13+'Ad Spend Input'!C13*'Client Config'!$F$13</f>
        <v>1000</v>
      </c>
      <c r="D13" s="11" t="n">
        <f aca="false">'Client Config'!$C$13+'Ad Spend Input'!D13*'Client Config'!$F$13</f>
        <v>1000</v>
      </c>
      <c r="E13" s="11" t="n">
        <f aca="false">'Client Config'!$C$13+'Ad Spend Input'!E13*'Client Config'!$F$13</f>
        <v>1000</v>
      </c>
      <c r="F13" s="11" t="n">
        <f aca="false">'Client Config'!$C$13+'Ad Spend Input'!F13*'Client Config'!$F$13</f>
        <v>1000</v>
      </c>
      <c r="G13" s="11" t="n">
        <f aca="false">'Client Config'!$C$13+'Ad Spend Input'!G13*'Client Config'!$F$13</f>
        <v>1000</v>
      </c>
      <c r="H13" s="11" t="n">
        <f aca="false">'Client Config'!$C$13+'Ad Spend Input'!H13*'Client Config'!$F$13</f>
        <v>1000</v>
      </c>
      <c r="I13" s="11" t="n">
        <f aca="false">'Client Config'!$C$13+'Ad Spend Input'!I13*'Client Config'!$F$13</f>
        <v>1000</v>
      </c>
      <c r="J13" s="11" t="n">
        <f aca="false">'Client Config'!$C$13+'Ad Spend Input'!J13*'Client Config'!$F$13</f>
        <v>1000</v>
      </c>
      <c r="K13" s="11" t="n">
        <f aca="false">'Client Config'!$C$13+'Ad Spend Input'!K13*'Client Config'!$F$13</f>
        <v>1000</v>
      </c>
      <c r="L13" s="11" t="n">
        <f aca="false">'Client Config'!$C$13+'Ad Spend Input'!L13*'Client Config'!$F$13</f>
        <v>1000</v>
      </c>
      <c r="M13" s="11" t="n">
        <f aca="false">'Client Config'!$C$13+'Ad Spend Input'!M13*'Client Config'!$F$13</f>
        <v>1000</v>
      </c>
      <c r="N13" s="7" t="n">
        <f aca="false">SUM(B13:M13)</f>
        <v>12000</v>
      </c>
    </row>
    <row r="14" customFormat="false" ht="15" hidden="false" customHeight="false" outlineLevel="0" collapsed="false">
      <c r="A14" s="5" t="s">
        <v>31</v>
      </c>
      <c r="B14" s="11" t="n">
        <f aca="false">'Client Config'!$C$14+'Ad Spend Input'!B14*'Client Config'!$F$14</f>
        <v>1000</v>
      </c>
      <c r="C14" s="11" t="n">
        <f aca="false">'Client Config'!$C$14+'Ad Spend Input'!C14*'Client Config'!$F$14</f>
        <v>1000</v>
      </c>
      <c r="D14" s="11" t="n">
        <f aca="false">'Client Config'!$C$14+'Ad Spend Input'!D14*'Client Config'!$F$14</f>
        <v>1000</v>
      </c>
      <c r="E14" s="11" t="n">
        <f aca="false">'Client Config'!$C$14+'Ad Spend Input'!E14*'Client Config'!$F$14</f>
        <v>1000</v>
      </c>
      <c r="F14" s="11" t="n">
        <f aca="false">'Client Config'!$C$14+'Ad Spend Input'!F14*'Client Config'!$F$14</f>
        <v>1000</v>
      </c>
      <c r="G14" s="11" t="n">
        <f aca="false">'Client Config'!$C$14+'Ad Spend Input'!G14*'Client Config'!$F$14</f>
        <v>1000</v>
      </c>
      <c r="H14" s="11" t="n">
        <f aca="false">'Client Config'!$C$14+'Ad Spend Input'!H14*'Client Config'!$F$14</f>
        <v>1000</v>
      </c>
      <c r="I14" s="11" t="n">
        <f aca="false">'Client Config'!$C$14+'Ad Spend Input'!I14*'Client Config'!$F$14</f>
        <v>1000</v>
      </c>
      <c r="J14" s="11" t="n">
        <f aca="false">'Client Config'!$C$14+'Ad Spend Input'!J14*'Client Config'!$F$14</f>
        <v>1000</v>
      </c>
      <c r="K14" s="11" t="n">
        <f aca="false">'Client Config'!$C$14+'Ad Spend Input'!K14*'Client Config'!$F$14</f>
        <v>1000</v>
      </c>
      <c r="L14" s="11" t="n">
        <f aca="false">'Client Config'!$C$14+'Ad Spend Input'!L14*'Client Config'!$F$14</f>
        <v>1000</v>
      </c>
      <c r="M14" s="11" t="n">
        <f aca="false">'Client Config'!$C$14+'Ad Spend Input'!M14*'Client Config'!$F$14</f>
        <v>1000</v>
      </c>
      <c r="N14" s="7" t="n">
        <f aca="false">SUM(B14:M14)</f>
        <v>12000</v>
      </c>
    </row>
    <row r="15" customFormat="false" ht="15" hidden="false" customHeight="false" outlineLevel="0" collapsed="false">
      <c r="A15" s="5" t="s">
        <v>33</v>
      </c>
      <c r="B15" s="11" t="n">
        <f aca="false">'Client Config'!$C$15+'Ad Spend Input'!B15*'Client Config'!$F$15</f>
        <v>0</v>
      </c>
      <c r="C15" s="11" t="n">
        <f aca="false">'Client Config'!$C$15+'Ad Spend Input'!C15*'Client Config'!$F$15</f>
        <v>0</v>
      </c>
      <c r="D15" s="11" t="n">
        <f aca="false">'Client Config'!$C$15+'Ad Spend Input'!D15*'Client Config'!$F$15</f>
        <v>0</v>
      </c>
      <c r="E15" s="11" t="n">
        <f aca="false">'Client Config'!$C$15+'Ad Spend Input'!E15*'Client Config'!$F$15</f>
        <v>0</v>
      </c>
      <c r="F15" s="11" t="n">
        <f aca="false">'Client Config'!$C$15+'Ad Spend Input'!F15*'Client Config'!$F$15</f>
        <v>0</v>
      </c>
      <c r="G15" s="11" t="n">
        <f aca="false">'Client Config'!$C$15+'Ad Spend Input'!G15*'Client Config'!$F$15</f>
        <v>0</v>
      </c>
      <c r="H15" s="11" t="n">
        <f aca="false">'Client Config'!$C$15+'Ad Spend Input'!H15*'Client Config'!$F$15</f>
        <v>0</v>
      </c>
      <c r="I15" s="11" t="n">
        <f aca="false">'Client Config'!$C$15+'Ad Spend Input'!I15*'Client Config'!$F$15</f>
        <v>0</v>
      </c>
      <c r="J15" s="11" t="n">
        <f aca="false">'Client Config'!$C$15+'Ad Spend Input'!J15*'Client Config'!$F$15</f>
        <v>0</v>
      </c>
      <c r="K15" s="11" t="n">
        <f aca="false">'Client Config'!$C$15+'Ad Spend Input'!K15*'Client Config'!$F$15</f>
        <v>0</v>
      </c>
      <c r="L15" s="11" t="n">
        <f aca="false">'Client Config'!$C$15+'Ad Spend Input'!L15*'Client Config'!$F$15</f>
        <v>0</v>
      </c>
      <c r="M15" s="11" t="n">
        <f aca="false">'Client Config'!$C$15+'Ad Spend Input'!M15*'Client Config'!$F$15</f>
        <v>0</v>
      </c>
      <c r="N15" s="7" t="n">
        <f aca="false">SUM(B15:M15)</f>
        <v>0</v>
      </c>
    </row>
    <row r="16" customFormat="false" ht="15" hidden="false" customHeight="false" outlineLevel="0" collapsed="false">
      <c r="A16" s="5" t="s">
        <v>35</v>
      </c>
      <c r="B16" s="11" t="n">
        <f aca="false">'Client Config'!$C$16+'Ad Spend Input'!B16*'Client Config'!$F$16</f>
        <v>0</v>
      </c>
      <c r="C16" s="11" t="n">
        <f aca="false">'Client Config'!$C$16+'Ad Spend Input'!C16*'Client Config'!$F$16</f>
        <v>0</v>
      </c>
      <c r="D16" s="11" t="n">
        <f aca="false">'Client Config'!$C$16+'Ad Spend Input'!D16*'Client Config'!$F$16</f>
        <v>0</v>
      </c>
      <c r="E16" s="11" t="n">
        <f aca="false">'Client Config'!$C$16+'Ad Spend Input'!E16*'Client Config'!$F$16</f>
        <v>0</v>
      </c>
      <c r="F16" s="11" t="n">
        <f aca="false">'Client Config'!$C$16+'Ad Spend Input'!F16*'Client Config'!$F$16</f>
        <v>0</v>
      </c>
      <c r="G16" s="11" t="n">
        <f aca="false">'Client Config'!$C$16+'Ad Spend Input'!G16*'Client Config'!$F$16</f>
        <v>0</v>
      </c>
      <c r="H16" s="11" t="n">
        <f aca="false">'Client Config'!$C$16+'Ad Spend Input'!H16*'Client Config'!$F$16</f>
        <v>0</v>
      </c>
      <c r="I16" s="11" t="n">
        <f aca="false">'Client Config'!$C$16+'Ad Spend Input'!I16*'Client Config'!$F$16</f>
        <v>0</v>
      </c>
      <c r="J16" s="11" t="n">
        <f aca="false">'Client Config'!$C$16+'Ad Spend Input'!J16*'Client Config'!$F$16</f>
        <v>0</v>
      </c>
      <c r="K16" s="11" t="n">
        <f aca="false">'Client Config'!$C$16+'Ad Spend Input'!K16*'Client Config'!$F$16</f>
        <v>0</v>
      </c>
      <c r="L16" s="11" t="n">
        <f aca="false">'Client Config'!$C$16+'Ad Spend Input'!L16*'Client Config'!$F$16</f>
        <v>0</v>
      </c>
      <c r="M16" s="11" t="n">
        <f aca="false">'Client Config'!$C$16+'Ad Spend Input'!M16*'Client Config'!$F$16</f>
        <v>0</v>
      </c>
      <c r="N16" s="7" t="n">
        <f aca="false">SUM(B16:M16)</f>
        <v>0</v>
      </c>
    </row>
    <row r="17" customFormat="false" ht="15" hidden="false" customHeight="false" outlineLevel="0" collapsed="false">
      <c r="A17" s="5" t="s">
        <v>50</v>
      </c>
      <c r="B17" s="12" t="n">
        <f aca="false">SUM(B2:B16)</f>
        <v>79085</v>
      </c>
      <c r="C17" s="12" t="n">
        <f aca="false">SUM(C2:C16)</f>
        <v>82352.5</v>
      </c>
      <c r="D17" s="12" t="n">
        <f aca="false">SUM(D2:D16)</f>
        <v>86930</v>
      </c>
      <c r="E17" s="12" t="n">
        <f aca="false">SUM(E2:E16)</f>
        <v>91797.5</v>
      </c>
      <c r="F17" s="12" t="n">
        <f aca="false">SUM(F2:F16)</f>
        <v>96175</v>
      </c>
      <c r="G17" s="12" t="n">
        <f aca="false">SUM(G2:G16)</f>
        <v>102902.5</v>
      </c>
      <c r="H17" s="12" t="n">
        <f aca="false">SUM(H2:H16)</f>
        <v>110270</v>
      </c>
      <c r="I17" s="12" t="n">
        <f aca="false">SUM(I2:I16)</f>
        <v>111202.5</v>
      </c>
      <c r="J17" s="12" t="n">
        <f aca="false">SUM(J2:J16)</f>
        <v>104075</v>
      </c>
      <c r="K17" s="12" t="n">
        <f aca="false">SUM(K2:K16)</f>
        <v>99557.5</v>
      </c>
      <c r="L17" s="12" t="n">
        <f aca="false">SUM(L2:L16)</f>
        <v>105275</v>
      </c>
      <c r="M17" s="12" t="n">
        <f aca="false">SUM(M2:M16)</f>
        <v>115950</v>
      </c>
      <c r="N17" s="12" t="n">
        <f aca="false">SUM(N2:N16)</f>
        <v>1185572.5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12" min="3" style="0" width="10"/>
  </cols>
  <sheetData>
    <row r="1" customFormat="false" ht="19.7" hidden="false" customHeight="false" outlineLevel="0" collapsed="false">
      <c r="A1" s="13" t="s">
        <v>51</v>
      </c>
      <c r="B1" s="13"/>
      <c r="C1" s="13"/>
      <c r="D1" s="13"/>
      <c r="E1" s="13"/>
      <c r="F1" s="13"/>
      <c r="G1" s="13"/>
    </row>
    <row r="3" customFormat="false" ht="15" hidden="false" customHeight="false" outlineLevel="0" collapsed="false">
      <c r="A3" s="14" t="s">
        <v>52</v>
      </c>
    </row>
    <row r="4" customFormat="false" ht="17.35" hidden="false" customHeight="false" outlineLevel="0" collapsed="false">
      <c r="A4" s="5" t="s">
        <v>53</v>
      </c>
      <c r="B4" s="15" t="n">
        <f aca="false">'Revenue Projection'!N17</f>
        <v>1185572.5</v>
      </c>
    </row>
    <row r="5" customFormat="false" ht="17.35" hidden="false" customHeight="false" outlineLevel="0" collapsed="false">
      <c r="A5" s="5" t="s">
        <v>54</v>
      </c>
      <c r="B5" s="15" t="n">
        <f aca="false">'Revenue Projection'!N17/12</f>
        <v>98797.7083333333</v>
      </c>
    </row>
    <row r="6" customFormat="false" ht="17.35" hidden="false" customHeight="false" outlineLevel="0" collapsed="false">
      <c r="A6" s="5" t="s">
        <v>55</v>
      </c>
      <c r="B6" s="15" t="n">
        <f aca="false">'Ad Spend Input'!N17</f>
        <v>15334000</v>
      </c>
    </row>
    <row r="7" customFormat="false" ht="17.35" hidden="false" customHeight="false" outlineLevel="0" collapsed="false">
      <c r="A7" s="5" t="s">
        <v>56</v>
      </c>
      <c r="B7" s="16" t="n">
        <f aca="false">'Revenue Projection'!N17/'Ad Spend Input'!N17</f>
        <v>0.0773165840615625</v>
      </c>
    </row>
    <row r="9" customFormat="false" ht="15" hidden="false" customHeight="false" outlineLevel="0" collapsed="false">
      <c r="A9" s="17" t="s">
        <v>57</v>
      </c>
    </row>
    <row r="10" customFormat="false" ht="15" hidden="false" customHeight="false" outlineLevel="0" collapsed="false">
      <c r="A10" s="0" t="s">
        <v>58</v>
      </c>
      <c r="B10" s="2" t="n">
        <v>150000</v>
      </c>
    </row>
    <row r="11" customFormat="false" ht="15" hidden="false" customHeight="false" outlineLevel="0" collapsed="false">
      <c r="A11" s="0" t="s">
        <v>59</v>
      </c>
      <c r="B11" s="18" t="n">
        <f aca="false">B5</f>
        <v>98797.7083333333</v>
      </c>
    </row>
    <row r="12" customFormat="false" ht="15" hidden="false" customHeight="false" outlineLevel="0" collapsed="false">
      <c r="A12" s="0" t="s">
        <v>60</v>
      </c>
      <c r="B12" s="19" t="n">
        <f aca="false">B10-B11</f>
        <v>51202.2916666667</v>
      </c>
    </row>
    <row r="13" customFormat="false" ht="15" hidden="false" customHeight="false" outlineLevel="0" collapsed="false">
      <c r="A13" s="0" t="s">
        <v>61</v>
      </c>
      <c r="B13" s="20" t="n">
        <f aca="false">B11/B10</f>
        <v>0.658651388888889</v>
      </c>
    </row>
    <row r="15" customFormat="false" ht="15" hidden="false" customHeight="false" outlineLevel="0" collapsed="false">
      <c r="A15" s="21" t="s">
        <v>62</v>
      </c>
    </row>
    <row r="16" customFormat="false" ht="15" hidden="false" customHeight="false" outlineLevel="0" collapsed="false">
      <c r="A16" s="22" t="s">
        <v>63</v>
      </c>
      <c r="B16" s="22" t="s">
        <v>64</v>
      </c>
      <c r="C16" s="22" t="s">
        <v>65</v>
      </c>
      <c r="D16" s="22" t="s">
        <v>66</v>
      </c>
      <c r="E16" s="22" t="s">
        <v>67</v>
      </c>
      <c r="F16" s="22" t="s">
        <v>68</v>
      </c>
      <c r="G16" s="22" t="s">
        <v>69</v>
      </c>
      <c r="H16" s="22" t="s">
        <v>70</v>
      </c>
      <c r="I16" s="22" t="s">
        <v>71</v>
      </c>
      <c r="J16" s="22" t="s">
        <v>72</v>
      </c>
      <c r="K16" s="22" t="s">
        <v>73</v>
      </c>
      <c r="L16" s="22" t="s">
        <v>74</v>
      </c>
    </row>
    <row r="17" customFormat="false" ht="15" hidden="false" customHeight="false" outlineLevel="0" collapsed="false">
      <c r="A17" s="11" t="n">
        <f aca="false">'Revenue Projection'!B17</f>
        <v>79085</v>
      </c>
      <c r="B17" s="11" t="n">
        <f aca="false">'Revenue Projection'!C17</f>
        <v>82352.5</v>
      </c>
      <c r="C17" s="11" t="n">
        <f aca="false">'Revenue Projection'!D17</f>
        <v>86930</v>
      </c>
      <c r="D17" s="11" t="n">
        <f aca="false">'Revenue Projection'!E17</f>
        <v>91797.5</v>
      </c>
      <c r="E17" s="11" t="n">
        <f aca="false">'Revenue Projection'!F17</f>
        <v>96175</v>
      </c>
      <c r="F17" s="11" t="n">
        <f aca="false">'Revenue Projection'!G17</f>
        <v>102902.5</v>
      </c>
      <c r="G17" s="11" t="n">
        <f aca="false">'Revenue Projection'!H17</f>
        <v>110270</v>
      </c>
      <c r="H17" s="11" t="n">
        <f aca="false">'Revenue Projection'!I17</f>
        <v>111202.5</v>
      </c>
      <c r="I17" s="11" t="n">
        <f aca="false">'Revenue Projection'!J17</f>
        <v>104075</v>
      </c>
      <c r="J17" s="11" t="n">
        <f aca="false">'Revenue Projection'!K17</f>
        <v>99557.5</v>
      </c>
      <c r="K17" s="11" t="n">
        <f aca="false">'Revenue Projection'!L17</f>
        <v>105275</v>
      </c>
      <c r="L17" s="11" t="n">
        <f aca="false">'Revenue Projection'!M17</f>
        <v>115950</v>
      </c>
    </row>
    <row r="18" customFormat="false" ht="15" hidden="false" customHeight="false" outlineLevel="0" collapsed="false">
      <c r="A18" s="23" t="n">
        <f aca="false">$B$10</f>
        <v>150000</v>
      </c>
      <c r="B18" s="23" t="n">
        <f aca="false">$B$10</f>
        <v>150000</v>
      </c>
      <c r="C18" s="23" t="n">
        <f aca="false">$B$10</f>
        <v>150000</v>
      </c>
      <c r="D18" s="23" t="n">
        <f aca="false">$B$10</f>
        <v>150000</v>
      </c>
      <c r="E18" s="23" t="n">
        <f aca="false">$B$10</f>
        <v>150000</v>
      </c>
      <c r="F18" s="23" t="n">
        <f aca="false">$B$10</f>
        <v>150000</v>
      </c>
      <c r="G18" s="23" t="n">
        <f aca="false">$B$10</f>
        <v>150000</v>
      </c>
      <c r="H18" s="23" t="n">
        <f aca="false">$B$10</f>
        <v>150000</v>
      </c>
      <c r="I18" s="23" t="n">
        <f aca="false">$B$10</f>
        <v>150000</v>
      </c>
      <c r="J18" s="23" t="n">
        <f aca="false">$B$10</f>
        <v>150000</v>
      </c>
      <c r="K18" s="23" t="n">
        <f aca="false">$B$10</f>
        <v>150000</v>
      </c>
      <c r="L18" s="23" t="n">
        <f aca="false">$B$10</f>
        <v>150000</v>
      </c>
    </row>
    <row r="20" customFormat="false" ht="15" hidden="false" customHeight="false" outlineLevel="0" collapsed="false">
      <c r="A20" s="24" t="s">
        <v>75</v>
      </c>
    </row>
    <row r="21" customFormat="false" ht="15" hidden="false" customHeight="false" outlineLevel="0" collapsed="false">
      <c r="A21" s="0" t="s">
        <v>7</v>
      </c>
      <c r="B21" s="11" t="n">
        <f aca="false">'Revenue Projection'!N2</f>
        <v>552750</v>
      </c>
    </row>
    <row r="22" customFormat="false" ht="15" hidden="false" customHeight="false" outlineLevel="0" collapsed="false">
      <c r="A22" s="0" t="s">
        <v>10</v>
      </c>
      <c r="B22" s="11" t="n">
        <f aca="false">'Revenue Projection'!N3</f>
        <v>52850</v>
      </c>
    </row>
    <row r="23" customFormat="false" ht="15" hidden="false" customHeight="false" outlineLevel="0" collapsed="false">
      <c r="A23" s="0" t="s">
        <v>13</v>
      </c>
      <c r="B23" s="11" t="n">
        <f aca="false">'Revenue Projection'!N4</f>
        <v>69500</v>
      </c>
    </row>
    <row r="24" customFormat="false" ht="15" hidden="false" customHeight="false" outlineLevel="0" collapsed="false">
      <c r="A24" s="0" t="s">
        <v>19</v>
      </c>
      <c r="B24" s="11" t="n">
        <f aca="false">'Revenue Projection'!N6</f>
        <v>97500</v>
      </c>
    </row>
    <row r="25" customFormat="false" ht="15" hidden="false" customHeight="false" outlineLevel="0" collapsed="false">
      <c r="A25" s="0" t="s">
        <v>20</v>
      </c>
      <c r="B25" s="11" t="n">
        <f aca="false">'Revenue Projection'!N7</f>
        <v>105600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2026-01-30T23:29:30Z</dcterms:created>
  <dc:creator>openpyxl</dc:creator>
  <dc:description/>
  <dc:language>en-US</dc:language>
  <cp:lastModifiedBy/>
  <dcterms:modified xsi:type="dcterms:W3CDTF">2026-01-30T23:29:30Z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