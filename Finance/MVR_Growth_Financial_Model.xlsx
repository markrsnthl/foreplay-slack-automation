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Projection" sheetId="3" state="visible" r:id="rId5"/>
    <sheet name="Team Costs" sheetId="4" state="visible" r:id="rId6"/>
    <sheet name="Bonus Structure" sheetId="5" state="visible" r:id="rId7"/>
    <sheet name="Monthly Tracker" sheetId="6" state="visible" r:id="rId8"/>
    <sheet name="Sunflow Seasonal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<sst xmlns="http://schemas.openxmlformats.org/spreadsheetml/2006/main" count="274" uniqueCount="224">
  <si>
    <t xml:space="preserve">MVR DIGITAL - GROWTH FINANCIAL MODEL</t>
  </si>
  <si>
    <t xml:space="preserve">Monthly Performance Dashboard</t>
  </si>
  <si>
    <t xml:space="preserve">Last Updated:</t>
  </si>
  <si>
    <t xml:space="preserve">KEY METRICS</t>
  </si>
  <si>
    <t xml:space="preserve">Current Monthly Revenue</t>
  </si>
  <si>
    <t xml:space="preserve">Monthly Expenses</t>
  </si>
  <si>
    <t xml:space="preserve">Net Operating Income</t>
  </si>
  <si>
    <t xml:space="preserve">Operating Margin</t>
  </si>
  <si>
    <t xml:space="preserve">Target Monthly Revenue</t>
  </si>
  <si>
    <t xml:space="preserve">Gap to Target</t>
  </si>
  <si>
    <t xml:space="preserve">New Clients Needed (at $15K avg)</t>
  </si>
  <si>
    <t xml:space="preserve">REVENUE CONCENTRATION</t>
  </si>
  <si>
    <t xml:space="preserve">Peddle % of Revenue</t>
  </si>
  <si>
    <t xml:space="preserve">(Target: &lt;40%)</t>
  </si>
  <si>
    <t xml:space="preserve">HIRING STATUS</t>
  </si>
  <si>
    <t xml:space="preserve">Account Manager</t>
  </si>
  <si>
    <t xml:space="preserve">Project Manager</t>
  </si>
  <si>
    <t xml:space="preserve">PROFITABILITY TRIGGERS</t>
  </si>
  <si>
    <t xml:space="preserve">Safe to Hire AM (Rev &gt;= $110K)?</t>
  </si>
  <si>
    <t xml:space="preserve">Safe to Hire PM (Rev &gt;= $120K)?</t>
  </si>
  <si>
    <t xml:space="preserve">At Target Margin (&gt;=35%)?</t>
  </si>
  <si>
    <t xml:space="preserve">SUNFLOW SEASONALITY IMPACT</t>
  </si>
  <si>
    <t xml:space="preserve">Peak Month Revenue (July est)</t>
  </si>
  <si>
    <t xml:space="preserve">Low Month Revenue (Feb est)</t>
  </si>
  <si>
    <t xml:space="preserve">Annual Revenue (with seasonality)</t>
  </si>
  <si>
    <t xml:space="preserve">ASSUMPTIONS &amp; INPUTS</t>
  </si>
  <si>
    <t xml:space="preserve">Blue values are inputs you can change</t>
  </si>
  <si>
    <t xml:space="preserve">REVENUE</t>
  </si>
  <si>
    <t xml:space="preserve">From existing clients</t>
  </si>
  <si>
    <t xml:space="preserve">Pending Deal Revenue (Monthly)</t>
  </si>
  <si>
    <t xml:space="preserve">Two deals closing in 30 days</t>
  </si>
  <si>
    <t xml:space="preserve">Average New Client Size</t>
  </si>
  <si>
    <t xml:space="preserve">Target: $10K-$20K/month</t>
  </si>
  <si>
    <t xml:space="preserve">Peddle Monthly</t>
  </si>
  <si>
    <t xml:space="preserve">Wrensilva Monthly</t>
  </si>
  <si>
    <t xml:space="preserve">Alo Monthly</t>
  </si>
  <si>
    <t xml:space="preserve">Sonsie Monthly</t>
  </si>
  <si>
    <t xml:space="preserve">Kaspar &amp; Lugay Monthly</t>
  </si>
  <si>
    <t xml:space="preserve">Sunflow Monthly</t>
  </si>
  <si>
    <t xml:space="preserve">Other/New Clients</t>
  </si>
  <si>
    <t xml:space="preserve">LABOR COSTS</t>
  </si>
  <si>
    <t xml:space="preserve">Maya Monthly (Salary + Benefits)</t>
  </si>
  <si>
    <t xml:space="preserve">$3K salary + $600 health ins</t>
  </si>
  <si>
    <t xml:space="preserve">Santi Monthly</t>
  </si>
  <si>
    <t xml:space="preserve">Full-time</t>
  </si>
  <si>
    <t xml:space="preserve">Leah Monthly</t>
  </si>
  <si>
    <t xml:space="preserve">1-2 hrs/month</t>
  </si>
  <si>
    <t xml:space="preserve">Contract Labor Monthly (Current)</t>
  </si>
  <si>
    <t xml:space="preserve">Tracy + active contractors</t>
  </si>
  <si>
    <t xml:space="preserve">Account Manager Hired?</t>
  </si>
  <si>
    <t xml:space="preserve">No</t>
  </si>
  <si>
    <t xml:space="preserve">Change to Yes when hired</t>
  </si>
  <si>
    <t xml:space="preserve">Account Manager Annual Salary</t>
  </si>
  <si>
    <t xml:space="preserve">Range: $80K-$150K</t>
  </si>
  <si>
    <t xml:space="preserve">AM Payroll Burden (Benefits/Taxes)</t>
  </si>
  <si>
    <t xml:space="preserve">Project Manager Hired?</t>
  </si>
  <si>
    <t xml:space="preserve">Project Manager Annual Salary</t>
  </si>
  <si>
    <t xml:space="preserve">Range: $60K-$80K</t>
  </si>
  <si>
    <t xml:space="preserve">PM Payroll Burden</t>
  </si>
  <si>
    <t xml:space="preserve">OPERATING EXPENSES</t>
  </si>
  <si>
    <t xml:space="preserve">Software/Tools Monthly</t>
  </si>
  <si>
    <t xml:space="preserve">Insurance Monthly</t>
  </si>
  <si>
    <t xml:space="preserve">Accounting Monthly</t>
  </si>
  <si>
    <t xml:space="preserve">Other Operating Monthly</t>
  </si>
  <si>
    <t xml:space="preserve">TARGETS</t>
  </si>
  <si>
    <t xml:space="preserve">Target Operating Margin</t>
  </si>
  <si>
    <t xml:space="preserve">Revenue to Hire AM</t>
  </si>
  <si>
    <t xml:space="preserve">Hire when revenue hits this</t>
  </si>
  <si>
    <t xml:space="preserve">Revenue to Hire PM</t>
  </si>
  <si>
    <t xml:space="preserve">12-MONTH GROWTH PROJECTION</t>
  </si>
  <si>
    <t xml:space="preserve">Current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</si>
  <si>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</si>
  <si>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</si>
  <si>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</si>
  <si>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</si>
  <si>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</si>
  <si>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</si>
  <si>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</si>
  <si>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</si>
  <si>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</si>
  <si>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</si>
  <si>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</si>
  <si>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</si>
  <si>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Base Client Revenue</t>
  </si>
  <si>
    <t xml:space="preserve">New Deal Revenue (Pending)</t>
  </si>
  <si>
    <t xml:space="preserve">Total Monthly Revenue</t>
  </si>
  <si>
    <t xml:space="preserve">EXPENSES</t>
  </si>
  <si>
    <t xml:space="preserve">Core Team (Maya + Santi + Leah)</t>
  </si>
  <si>
    <t xml:space="preserve">Contract Labor</t>
  </si>
  <si>
    <t xml:space="preserve">Account Manager (if hired)</t>
  </si>
  <si>
    <t xml:space="preserve">Project Manager (if hired)</t>
  </si>
  <si>
    <t xml:space="preserve">Software &amp; Tools</t>
  </si>
  <si>
    <t xml:space="preserve">Insurance</t>
  </si>
  <si>
    <t xml:space="preserve">Accounting</t>
  </si>
  <si>
    <t xml:space="preserve">Other Operating</t>
  </si>
  <si>
    <t xml:space="preserve">Total Expenses</t>
  </si>
  <si>
    <t xml:space="preserve">PROFITABILITY</t>
  </si>
  <si>
    <t xml:space="preserve">HIRING TRIGGERS</t>
  </si>
  <si>
    <t xml:space="preserve">Revenue &gt;= $110K (Hire AM)?</t>
  </si>
  <si>
    <t xml:space="preserve">Revenue &gt;= $120K (Hire PM)?</t>
  </si>
  <si>
    <t xml:space="preserve">Margin &gt;= Target?</t>
  </si>
  <si>
    <t xml:space="preserve">TEAM &amp; CONTRACTOR COSTS</t>
  </si>
  <si>
    <t xml:space="preserve">Name</t>
  </si>
  <si>
    <t xml:space="preserve">Role</t>
  </si>
  <si>
    <t xml:space="preserve">Type</t>
  </si>
  <si>
    <t xml:space="preserve">Monthly Cost</t>
  </si>
  <si>
    <t xml:space="preserve">Annual Cost</t>
  </si>
  <si>
    <t xml:space="preserve">Notes</t>
  </si>
  <si>
    <t xml:space="preserve">CORE TEAM</t>
  </si>
  <si>
    <t xml:space="preserve">Maya Kumits</t>
  </si>
  <si>
    <t xml:space="preserve">Operations</t>
  </si>
  <si>
    <t xml:space="preserve">Full-Time</t>
  </si>
  <si>
    <t xml:space="preserve">$3K salary + $600 health insurance</t>
  </si>
  <si>
    <t xml:space="preserve">Santiago Garcia Dietze</t>
  </si>
  <si>
    <t xml:space="preserve">Media/Operations</t>
  </si>
  <si>
    <t xml:space="preserve">Now full-time</t>
  </si>
  <si>
    <t xml:space="preserve">Leah Peters</t>
  </si>
  <si>
    <t xml:space="preserve">Support</t>
  </si>
  <si>
    <t xml:space="preserve">Contractor</t>
  </si>
  <si>
    <t xml:space="preserve">ACTIVE CONTRACTORS</t>
  </si>
  <si>
    <t xml:space="preserve">Tracy/Worksource Mgmt</t>
  </si>
  <si>
    <t xml:space="preserve">Admin/Coordination</t>
  </si>
  <si>
    <t xml:space="preserve">Camila Escobar</t>
  </si>
  <si>
    <t xml:space="preserve">TBD</t>
  </si>
  <si>
    <t xml:space="preserve">Lisel Arroyo</t>
  </si>
  <si>
    <t xml:space="preserve">George Poradek</t>
  </si>
  <si>
    <t xml:space="preserve">Other Active Contractors</t>
  </si>
  <si>
    <t xml:space="preserve">Various</t>
  </si>
  <si>
    <t xml:space="preserve">Update with actual breakdown</t>
  </si>
  <si>
    <t xml:space="preserve">PLANNED HIRES</t>
  </si>
  <si>
    <t xml:space="preserve">Client Relationships</t>
  </si>
  <si>
    <t xml:space="preserve">Hire when revenue &gt;= $110K/mo</t>
  </si>
  <si>
    <t xml:space="preserve">Delivery/Operations</t>
  </si>
  <si>
    <t xml:space="preserve">Hire when revenue &gt;= $120K/mo</t>
  </si>
  <si>
    <t xml:space="preserve">TOTALS</t>
  </si>
  <si>
    <t xml:space="preserve">Current Core Team</t>
  </si>
  <si>
    <t xml:space="preserve">Current Contractors</t>
  </si>
  <si>
    <t xml:space="preserve">Total Current Labor</t>
  </si>
  <si>
    <t xml:space="preserve">Planned Hires (Annual)</t>
  </si>
  <si>
    <t xml:space="preserve">QUARTERLY BONUS FRAMEWORK</t>
  </si>
  <si>
    <t xml:space="preserve">Review and distribute quarterly based on company performance and individual contribution</t>
  </si>
  <si>
    <t xml:space="preserve">BONUS PHILOSOPHY</t>
  </si>
  <si>
    <t xml:space="preserve">Bonus Pool = 10% of Quarterly Net Operating Income above target margin</t>
  </si>
  <si>
    <t xml:space="preserve">Only paid when quarterly margin exceeds 30%</t>
  </si>
  <si>
    <t xml:space="preserve">Distributed based on role weight and individual performance score</t>
  </si>
  <si>
    <t xml:space="preserve">QUARTERLY INPUTS</t>
  </si>
  <si>
    <t xml:space="preserve">Quarter Revenue</t>
  </si>
  <si>
    <t xml:space="preserve">Enter actual quarterly revenue</t>
  </si>
  <si>
    <t xml:space="preserve">Quarter Expenses</t>
  </si>
  <si>
    <t xml:space="preserve">Quarter NOI</t>
  </si>
  <si>
    <t xml:space="preserve">Quarter Margin</t>
  </si>
  <si>
    <t xml:space="preserve">Margin Threshold for Bonus</t>
  </si>
  <si>
    <t xml:space="preserve">Bonus Pool %</t>
  </si>
  <si>
    <t xml:space="preserve">Eligible for Bonus?</t>
  </si>
  <si>
    <t xml:space="preserve">Total Bonus Pool</t>
  </si>
  <si>
    <t xml:space="preserve">BONUS DISTRIBUTION</t>
  </si>
  <si>
    <t xml:space="preserve">Team Member</t>
  </si>
  <si>
    <t xml:space="preserve">Role Weight</t>
  </si>
  <si>
    <t xml:space="preserve">Performance (1-5)</t>
  </si>
  <si>
    <t xml:space="preserve">Weighted Score</t>
  </si>
  <si>
    <t xml:space="preserve">Bonus Amount</t>
  </si>
  <si>
    <t xml:space="preserve">Set score to 0 if not hired</t>
  </si>
  <si>
    <t xml:space="preserve">Contractor Pool</t>
  </si>
  <si>
    <t xml:space="preserve">Distribute among active contractors</t>
  </si>
  <si>
    <t xml:space="preserve">TOTAL</t>
  </si>
  <si>
    <t xml:space="preserve">QUARTERLY REVIEW PROCESS</t>
  </si>
  <si>
    <t xml:space="preserve">1. Close the quarter books by day 5 of new quarter</t>
  </si>
  <si>
    <t xml:space="preserve">2. Calculate quarterly revenue, expenses, and margin</t>
  </si>
  <si>
    <t xml:space="preserve">3. If margin &gt;= 30%, calculate bonus pool (10% of NOI)</t>
  </si>
  <si>
    <t xml:space="preserve">4. Rate each team member 1-5 on performance</t>
  </si>
  <si>
    <t xml:space="preserve">5. Calculate weighted distribution</t>
  </si>
  <si>
    <t xml:space="preserve">6. Communicate and pay bonuses by day 15 of new quarter</t>
  </si>
  <si>
    <t xml:space="preserve">MONTHLY PERFORMANCE TRACKER</t>
  </si>
  <si>
    <t xml:space="preserve">Update this sheet at the end of each month to compare actuals vs budget</t>
  </si>
  <si>
    <t xml:space="preserve">Month:</t>
  </si>
  <si>
    <t xml:space="preserve">February 2026</t>
  </si>
  <si>
    <t xml:space="preserve">Metric</t>
  </si>
  <si>
    <t xml:space="preserve">Budget</t>
  </si>
  <si>
    <t xml:space="preserve">Actual</t>
  </si>
  <si>
    <t xml:space="preserve">Variance</t>
  </si>
  <si>
    <t xml:space="preserve">Variance %</t>
  </si>
  <si>
    <t xml:space="preserve">Total Revenue</t>
  </si>
  <si>
    <t xml:space="preserve">Core Team</t>
  </si>
  <si>
    <t xml:space="preserve">Software/Tools</t>
  </si>
  <si>
    <t xml:space="preserve">SUNFLOW SEASONAL REVENUE MODEL</t>
  </si>
  <si>
    <t xml:space="preserve">Based on 2025 actuals - Peak Mar-Aug, Low Sep-Feb</t>
  </si>
  <si>
    <t xml:space="preserve">2025 ACTUALS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</si>
  <si>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</si>
  <si>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</si>
  <si>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</si>
  <si>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</si>
  <si>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</si>
  <si>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</si>
  <si>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</si>
  <si>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</si>
  <si>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</si>
  <si>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</si>
  <si>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</si>
  <si>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</si>
  <si>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</si>
  <si>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Sunflow 2025</t>
  </si>
  <si>
    <t xml:space="preserve">2026 PROJECTIONS</t>
  </si>
  <si>
    <t xml:space="preserve">Baseline Monthly</t>
  </si>
  <si>
    <t xml:space="preserve">(Current retainer assumption)</t>
  </si>
  <si>
    <t xml:space="preserve">Seasonal Multiplier</t>
  </si>
  <si>
    <t xml:space="preserve">Projected 2026</t>
  </si>
  <si>
    <t xml:space="preserve">IMPACT ON TOTAL REVENUE</t>
  </si>
  <si>
    <t xml:space="preserve">Base Revenue (excl Sunflow)</t>
  </si>
  <si>
    <t xml:space="preserve">($95K total - $5.5K Sunflow avg)</t>
  </si>
  <si>
    <t xml:space="preserve">Sunflow Avg (with seasonality)</t>
  </si>
  <si>
    <t xml:space="preserve">Avg Monthly Revenue</t>
  </si>
  <si>
    <t xml:space="preserve">Peak Month (July)</t>
  </si>
  <si>
    <t xml:space="preserve">Low Month (Feb/Nov)</t>
  </si>
  <si>
    <t xml:space="preserve">2026 MONTHLY REVENUE BY CLIENT (with Sunflow Seasonality)</t>
  </si>
  <si>
    <t xml:space="preserve">Peddle</t>
  </si>
  <si>
    <t xml:space="preserve">Wrensilva</t>
  </si>
  <si>
    <t xml:space="preserve">Alo</t>
  </si>
  <si>
    <t xml:space="preserve">Sonsie</t>
  </si>
  <si>
    <t xml:space="preserve">Kaspar &amp; Lugay</t>
  </si>
  <si>
    <t xml:space="preserve">Sunflow (Seasonal)</t>
  </si>
  <si>
    <t xml:space="preserve">Other/Buffer</t>
  </si>
  <si>
    <t xml:space="preserve">TOTAL MONTHLY REVENUE</t>
  </si>
  <si>
    <t xml:space="preserve">New Deals (Pending)</t>
  </si>
  <si>
    <t xml:space="preserve">TOTAL WITH NEW DEALS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</si>
</sst>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 d&quot;, &quot;yyyy"/>
    <numFmt numFmtId="166" formatCode="\$#,##0"/>
    <numFmt numFmtId="167" formatCode="0.0%"/>
    <numFmt numFmtId="168" formatCode="\$#,##0;&quot;($&quot;#,##0\);\-"/>
    <numFmt numFmtId="169" formatCode="\$#,##0&quot;/mo&quot;"/>
    <numFmt numFmtId="170" formatCode="\$#,##0"/>
    <numFmt numFmtId="171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i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i val="true"/>
      <sz val="11"/>
      <color rgb="FF0000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color rgb="FFFF00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8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1" t="s">
        <v>2</v>
      </c>
      <c r="B3" s="4" t="n">
        <f aca="true">TODAY()</f>
        <v>46052</v>
      </c>
    </row>
    <row r="5" customFormat="false" ht="15" hidden="false" customHeight="true" outlineLevel="0" collapsed="false">
      <c r="A5" s="5" t="s">
        <v>3</v>
      </c>
      <c r="B5" s="6"/>
      <c r="C5" s="6"/>
      <c r="D5" s="6"/>
    </row>
    <row r="7" customFormat="false" ht="15" hidden="false" customHeight="true" outlineLevel="0" collapsed="false">
      <c r="A7" s="1" t="s">
        <v>4</v>
      </c>
      <c r="B7" s="7" t="n">
        <f aca="false">Assumptions!B6</f>
        <v>95000</v>
      </c>
    </row>
    <row r="8" customFormat="false" ht="15" hidden="false" customHeight="true" outlineLevel="0" collapsed="false">
      <c r="A8" s="1" t="s">
        <v>5</v>
      </c>
      <c r="B8" s="7" t="n">
        <f aca="false">Projection!N8</f>
        <v>0</v>
      </c>
    </row>
    <row r="9" customFormat="false" ht="15" hidden="false" customHeight="true" outlineLevel="0" collapsed="false">
      <c r="A9" s="1" t="s">
        <v>6</v>
      </c>
      <c r="B9" s="8" t="n">
        <f aca="false">B7-B8</f>
        <v>95000</v>
      </c>
    </row>
    <row r="10" customFormat="false" ht="15" hidden="false" customHeight="true" outlineLevel="0" collapsed="false">
      <c r="A10" s="1" t="s">
        <v>7</v>
      </c>
      <c r="B10" s="9" t="n">
        <f aca="false">IF(B7&gt;0,B9/B7,0)</f>
        <v>1</v>
      </c>
    </row>
    <row r="12" customFormat="false" ht="15" hidden="false" customHeight="true" outlineLevel="0" collapsed="false">
      <c r="A12" s="1" t="s">
        <v>8</v>
      </c>
      <c r="B12" s="7" t="n">
        <f aca="false">Assumptions!B7</f>
        <v>150000</v>
      </c>
    </row>
    <row r="13" customFormat="false" ht="15" hidden="false" customHeight="true" outlineLevel="0" collapsed="false">
      <c r="A13" s="1" t="s">
        <v>9</v>
      </c>
      <c r="B13" s="10" t="n">
        <f aca="false">B12-B7</f>
        <v>55000</v>
      </c>
    </row>
    <row r="14" customFormat="false" ht="15" hidden="false" customHeight="true" outlineLevel="0" collapsed="false">
      <c r="A14" s="1" t="s">
        <v>10</v>
      </c>
      <c r="B14" s="1" t="n">
        <f aca="false">ROUNDUP(B13/15000,0)</f>
        <v>4</v>
      </c>
    </row>
    <row r="16" customFormat="false" ht="15" hidden="false" customHeight="true" outlineLevel="0" collapsed="false">
      <c r="A16" s="5" t="s">
        <v>11</v>
      </c>
      <c r="B16" s="6"/>
      <c r="C16" s="6"/>
      <c r="D16" s="6"/>
    </row>
    <row r="18" customFormat="false" ht="15" hidden="false" customHeight="true" outlineLevel="0" collapsed="false">
      <c r="A18" s="1" t="s">
        <v>12</v>
      </c>
      <c r="B18" s="11" t="n">
        <f aca="false">Assumptions!B11/Assumptions!B6</f>
        <v>0.515789473684211</v>
      </c>
      <c r="C18" s="12" t="s">
        <v>13</v>
      </c>
    </row>
    <row r="20" customFormat="false" ht="15" hidden="false" customHeight="true" outlineLevel="0" collapsed="false">
      <c r="A20" s="5" t="s">
        <v>14</v>
      </c>
      <c r="B20" s="6"/>
      <c r="C20" s="6"/>
      <c r="D20" s="6"/>
    </row>
    <row r="22" customFormat="false" ht="15" hidden="false" customHeight="true" outlineLevel="0" collapsed="false">
      <c r="A22" s="1" t="s">
        <v>15</v>
      </c>
      <c r="B22" s="1" t="str">
        <f aca="false">IF(Assumptions!B26="Yes","Hired","Not Hired")</f>
        <v>Not Hired</v>
      </c>
      <c r="C22" s="13" t="str">
        <f aca="false">IF(Assumptions!B26="Yes",Assumptions!B27/12,"")</f>
        <v/>
      </c>
    </row>
    <row r="23" customFormat="false" ht="15" hidden="false" customHeight="true" outlineLevel="0" collapsed="false">
      <c r="A23" s="1" t="s">
        <v>16</v>
      </c>
      <c r="B23" s="1" t="str">
        <f aca="false">IF(Assumptions!B29="Yes","Hired","Not Hired")</f>
        <v>Not Hired</v>
      </c>
      <c r="C23" s="13" t="str">
        <f aca="false">IF(Assumptions!B29="Yes",Assumptions!B30/12,"")</f>
        <v/>
      </c>
    </row>
    <row r="25" customFormat="false" ht="15" hidden="false" customHeight="true" outlineLevel="0" collapsed="false">
      <c r="A25" s="5" t="s">
        <v>17</v>
      </c>
      <c r="B25" s="6"/>
      <c r="C25" s="6"/>
      <c r="D25" s="6"/>
    </row>
    <row r="27" customFormat="false" ht="15" hidden="false" customHeight="true" outlineLevel="0" collapsed="false">
      <c r="A27" s="1" t="s">
        <v>18</v>
      </c>
      <c r="B27" s="1" t="str">
        <f aca="false">IF(B7&gt;=110000,"YES - PROCEED","NOT YET")</f>
        <v>NOT YET</v>
      </c>
    </row>
    <row r="28" customFormat="false" ht="15" hidden="false" customHeight="true" outlineLevel="0" collapsed="false">
      <c r="A28" s="1" t="s">
        <v>19</v>
      </c>
      <c r="B28" s="1" t="str">
        <f aca="false">IF(B7&gt;=120000,"YES - PROCEED","NOT YET")</f>
        <v>NOT YET</v>
      </c>
    </row>
    <row r="29" customFormat="false" ht="15" hidden="false" customHeight="true" outlineLevel="0" collapsed="false">
      <c r="A29" s="1" t="s">
        <v>20</v>
      </c>
      <c r="B29" s="1" t="str">
        <f aca="false">IF(B10&gt;=0.35,"YES","NO")</f>
        <v>YES</v>
      </c>
    </row>
    <row r="31" customFormat="false" ht="15" hidden="false" customHeight="false" outlineLevel="0" collapsed="false">
      <c r="A31" s="14" t="s">
        <v>21</v>
      </c>
      <c r="B31" s="15"/>
      <c r="C31" s="15"/>
      <c r="D31" s="15"/>
    </row>
    <row r="33" customFormat="false" ht="15" hidden="false" customHeight="false" outlineLevel="0" collapsed="false">
      <c r="A33" s="1" t="s">
        <v>22</v>
      </c>
      <c r="B33" s="16" t="n">
        <f aca="false">'Sunflow Seasonality'!H34</f>
        <v>169500</v>
      </c>
    </row>
    <row r="34" customFormat="false" ht="15" hidden="false" customHeight="false" outlineLevel="0" collapsed="false">
      <c r="A34" s="1" t="s">
        <v>23</v>
      </c>
      <c r="B34" s="16" t="n">
        <f aca="false">'Sunflow Seasonality'!C34</f>
        <v>116700</v>
      </c>
    </row>
    <row r="35" customFormat="false" ht="15" hidden="false" customHeight="false" outlineLevel="0" collapsed="false">
      <c r="A35" s="1" t="s">
        <v>24</v>
      </c>
      <c r="B35" s="16" t="n">
        <f aca="false">'Sunflow Seasonality'!N34</f>
        <v>1475225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3" min="3" style="1" width="30"/>
  </cols>
  <sheetData>
    <row r="1" customFormat="false" ht="19.5" hidden="false" customHeight="true" outlineLevel="0" collapsed="false">
      <c r="A1" s="17" t="s">
        <v>25</v>
      </c>
    </row>
    <row r="2" customFormat="false" ht="15" hidden="false" customHeight="true" outlineLevel="0" collapsed="false">
      <c r="A2" s="18" t="s">
        <v>26</v>
      </c>
    </row>
    <row r="4" customFormat="false" ht="15" hidden="false" customHeight="true" outlineLevel="0" collapsed="false">
      <c r="A4" s="5" t="s">
        <v>27</v>
      </c>
      <c r="B4" s="6"/>
      <c r="C4" s="6"/>
    </row>
    <row r="6" customFormat="false" ht="15" hidden="false" customHeight="true" outlineLevel="0" collapsed="false">
      <c r="A6" s="1" t="s">
        <v>4</v>
      </c>
      <c r="B6" s="19" t="n">
        <v>95000</v>
      </c>
      <c r="C6" s="1" t="s">
        <v>28</v>
      </c>
    </row>
    <row r="7" customFormat="false" ht="15" hidden="false" customHeight="true" outlineLevel="0" collapsed="false">
      <c r="A7" s="1" t="s">
        <v>8</v>
      </c>
      <c r="B7" s="19" t="n">
        <v>150000</v>
      </c>
    </row>
    <row r="8" customFormat="false" ht="15" hidden="false" customHeight="true" outlineLevel="0" collapsed="false">
      <c r="A8" s="1" t="s">
        <v>29</v>
      </c>
      <c r="B8" s="19" t="n">
        <v>25000</v>
      </c>
      <c r="C8" s="1" t="s">
        <v>30</v>
      </c>
    </row>
    <row r="9" customFormat="false" ht="15" hidden="false" customHeight="true" outlineLevel="0" collapsed="false">
      <c r="A9" s="1" t="s">
        <v>31</v>
      </c>
      <c r="B9" s="19" t="n">
        <v>15000</v>
      </c>
      <c r="C9" s="1" t="s">
        <v>32</v>
      </c>
    </row>
    <row r="11" customFormat="false" ht="15" hidden="false" customHeight="true" outlineLevel="0" collapsed="false">
      <c r="A11" s="1" t="s">
        <v>33</v>
      </c>
      <c r="B11" s="20" t="n">
        <v>49000</v>
      </c>
    </row>
    <row r="12" customFormat="false" ht="15" hidden="false" customHeight="true" outlineLevel="0" collapsed="false">
      <c r="A12" s="1" t="s">
        <v>34</v>
      </c>
      <c r="B12" s="20" t="n">
        <v>14000</v>
      </c>
    </row>
    <row r="13" customFormat="false" ht="15" hidden="false" customHeight="true" outlineLevel="0" collapsed="false">
      <c r="A13" s="1" t="s">
        <v>35</v>
      </c>
      <c r="B13" s="20" t="n">
        <v>10000</v>
      </c>
    </row>
    <row r="14" customFormat="false" ht="15" hidden="false" customHeight="true" outlineLevel="0" collapsed="false">
      <c r="A14" s="1" t="s">
        <v>36</v>
      </c>
      <c r="B14" s="20" t="n">
        <v>9000</v>
      </c>
    </row>
    <row r="15" customFormat="false" ht="15" hidden="false" customHeight="true" outlineLevel="0" collapsed="false">
      <c r="A15" s="1" t="s">
        <v>37</v>
      </c>
      <c r="B15" s="20" t="n">
        <v>6000</v>
      </c>
    </row>
    <row r="16" customFormat="false" ht="15" hidden="false" customHeight="true" outlineLevel="0" collapsed="false">
      <c r="A16" s="1" t="s">
        <v>38</v>
      </c>
      <c r="B16" s="20" t="n">
        <v>5500</v>
      </c>
    </row>
    <row r="17" customFormat="false" ht="15" hidden="false" customHeight="true" outlineLevel="0" collapsed="false">
      <c r="A17" s="1" t="s">
        <v>39</v>
      </c>
      <c r="B17" s="20" t="n">
        <v>1500</v>
      </c>
    </row>
    <row r="19" customFormat="false" ht="15" hidden="false" customHeight="true" outlineLevel="0" collapsed="false">
      <c r="A19" s="5" t="s">
        <v>40</v>
      </c>
      <c r="B19" s="6"/>
      <c r="C19" s="6"/>
    </row>
    <row r="21" customFormat="false" ht="15" hidden="false" customHeight="true" outlineLevel="0" collapsed="false">
      <c r="A21" s="1" t="s">
        <v>41</v>
      </c>
      <c r="B21" s="19" t="n">
        <v>3600</v>
      </c>
      <c r="C21" s="1" t="s">
        <v>42</v>
      </c>
    </row>
    <row r="22" customFormat="false" ht="15" hidden="false" customHeight="true" outlineLevel="0" collapsed="false">
      <c r="A22" s="1" t="s">
        <v>43</v>
      </c>
      <c r="B22" s="19" t="n">
        <v>2500</v>
      </c>
      <c r="C22" s="1" t="s">
        <v>44</v>
      </c>
    </row>
    <row r="23" customFormat="false" ht="15" hidden="false" customHeight="true" outlineLevel="0" collapsed="false">
      <c r="A23" s="1" t="s">
        <v>45</v>
      </c>
      <c r="B23" s="19" t="n">
        <v>200</v>
      </c>
      <c r="C23" s="1" t="s">
        <v>46</v>
      </c>
    </row>
    <row r="24" customFormat="false" ht="15" hidden="false" customHeight="true" outlineLevel="0" collapsed="false">
      <c r="A24" s="1" t="s">
        <v>47</v>
      </c>
      <c r="B24" s="19" t="n">
        <v>28000</v>
      </c>
      <c r="C24" s="1" t="s">
        <v>48</v>
      </c>
    </row>
    <row r="26" customFormat="false" ht="15" hidden="false" customHeight="true" outlineLevel="0" collapsed="false">
      <c r="A26" s="1" t="s">
        <v>49</v>
      </c>
      <c r="B26" s="21" t="s">
        <v>50</v>
      </c>
      <c r="C26" s="1" t="s">
        <v>51</v>
      </c>
    </row>
    <row r="27" customFormat="false" ht="15" hidden="false" customHeight="true" outlineLevel="0" collapsed="false">
      <c r="A27" s="1" t="s">
        <v>52</v>
      </c>
      <c r="B27" s="19" t="n">
        <v>100000</v>
      </c>
      <c r="C27" s="1" t="s">
        <v>53</v>
      </c>
    </row>
    <row r="28" customFormat="false" ht="15" hidden="false" customHeight="true" outlineLevel="0" collapsed="false">
      <c r="A28" s="1" t="s">
        <v>54</v>
      </c>
      <c r="B28" s="22" t="n">
        <v>0.15</v>
      </c>
    </row>
    <row r="29" customFormat="false" ht="15" hidden="false" customHeight="true" outlineLevel="0" collapsed="false">
      <c r="A29" s="1" t="s">
        <v>55</v>
      </c>
      <c r="B29" s="21" t="s">
        <v>50</v>
      </c>
      <c r="C29" s="1" t="s">
        <v>51</v>
      </c>
    </row>
    <row r="30" customFormat="false" ht="15" hidden="false" customHeight="true" outlineLevel="0" collapsed="false">
      <c r="A30" s="1" t="s">
        <v>56</v>
      </c>
      <c r="B30" s="19" t="n">
        <v>70000</v>
      </c>
      <c r="C30" s="1" t="s">
        <v>57</v>
      </c>
    </row>
    <row r="31" customFormat="false" ht="15" hidden="false" customHeight="true" outlineLevel="0" collapsed="false">
      <c r="A31" s="1" t="s">
        <v>58</v>
      </c>
      <c r="B31" s="22" t="n">
        <v>0.15</v>
      </c>
    </row>
    <row r="33" customFormat="false" ht="15" hidden="false" customHeight="true" outlineLevel="0" collapsed="false">
      <c r="A33" s="5" t="s">
        <v>59</v>
      </c>
      <c r="B33" s="6"/>
      <c r="C33" s="6"/>
    </row>
    <row r="35" customFormat="false" ht="15" hidden="false" customHeight="true" outlineLevel="0" collapsed="false">
      <c r="A35" s="1" t="s">
        <v>60</v>
      </c>
      <c r="B35" s="19" t="n">
        <v>4000</v>
      </c>
    </row>
    <row r="36" customFormat="false" ht="15" hidden="false" customHeight="true" outlineLevel="0" collapsed="false">
      <c r="A36" s="1" t="s">
        <v>61</v>
      </c>
      <c r="B36" s="20" t="n">
        <v>3000</v>
      </c>
    </row>
    <row r="37" customFormat="false" ht="15" hidden="false" customHeight="true" outlineLevel="0" collapsed="false">
      <c r="A37" s="1" t="s">
        <v>62</v>
      </c>
      <c r="B37" s="20" t="n">
        <v>2000</v>
      </c>
    </row>
    <row r="38" customFormat="false" ht="15" hidden="false" customHeight="true" outlineLevel="0" collapsed="false">
      <c r="A38" s="1" t="s">
        <v>63</v>
      </c>
      <c r="B38" s="20" t="n">
        <v>1500</v>
      </c>
    </row>
    <row r="40" customFormat="false" ht="15" hidden="false" customHeight="true" outlineLevel="0" collapsed="false">
      <c r="A40" s="5" t="s">
        <v>64</v>
      </c>
      <c r="B40" s="6"/>
      <c r="C40" s="6"/>
    </row>
    <row r="42" customFormat="false" ht="15" hidden="false" customHeight="true" outlineLevel="0" collapsed="false">
      <c r="A42" s="1" t="s">
        <v>65</v>
      </c>
      <c r="B42" s="23" t="n">
        <v>0.35</v>
      </c>
    </row>
    <row r="43" customFormat="false" ht="15" hidden="false" customHeight="true" outlineLevel="0" collapsed="false">
      <c r="A43" s="1" t="s">
        <v>66</v>
      </c>
      <c r="B43" s="20" t="n">
        <v>110000</v>
      </c>
      <c r="C43" s="1" t="s">
        <v>67</v>
      </c>
    </row>
    <row r="44" customFormat="false" ht="15" hidden="false" customHeight="true" outlineLevel="0" collapsed="false">
      <c r="A44" s="1" t="s">
        <v>68</v>
      </c>
      <c r="B44" s="20" t="n">
        <v>120000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15" min="2" style="1" width="12"/>
  </cols>
  <sheetData>
    <row r="1" customFormat="false" ht="19.5" hidden="false" customHeight="true" outlineLevel="0" collapsed="false">
      <c r="A1" s="17" t="s">
        <v>69</v>
      </c>
    </row>
    <row r="3" customFormat="false" ht="15" hidden="false" customHeight="true" outlineLevel="0" collapsed="false">
      <c r="A3" s="6"/>
      <c r="B3" s="24" t="s">
        <v>70</v>
      </c>
      <c r="C3" s="24" t="s">
        <v>71</v>
      </c>
      <c r="D3" s="24" t="s">
        <v>72</v>
      </c>
      <c r="E3" s="24" t="s">
        <v>73</v>
      </c>
      <c r="F3" s="24" t="s">
        <v>74</v>
      </c>
      <c r="G3" s="24" t="s">
        <v>75</v>
      </c>
      <c r="H3" s="24" t="s">
        <v>76</v>
      </c>
      <c r="I3" s="24" t="s">
        <v>77</v>
      </c>
      <c r="J3" s="24" t="s">
        <v>78</v>
      </c>
      <c r="K3" s="24" t="s">
        <v>79</v>
      </c>
      <c r="L3" s="24" t="s">
        <v>80</v>
      </c>
      <c r="M3" s="24" t="s">
        <v>81</v>
      </c>
      <c r="N3" s="24" t="s">
        <v>82</v>
      </c>
    </row>
    <row r="4" customFormat="false" ht="15" hidden="false" customHeight="true" outlineLevel="0" collapsed="false">
      <c r="A4" s="25" t="s">
        <v>27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customFormat="false" ht="15" hidden="false" customHeight="true" outlineLevel="0" collapsed="false">
      <c r="A5" s="1" t="s">
        <v>83</v>
      </c>
      <c r="B5" s="8" t="n">
        <f aca="false">Assumptions!B6</f>
        <v>95000</v>
      </c>
      <c r="C5" s="8" t="n">
        <f aca="false">B5</f>
        <v>95000</v>
      </c>
      <c r="D5" s="8" t="n">
        <f aca="false">C5</f>
        <v>95000</v>
      </c>
      <c r="E5" s="8" t="n">
        <f aca="false">D5</f>
        <v>95000</v>
      </c>
      <c r="F5" s="8" t="n">
        <f aca="false">E5</f>
        <v>95000</v>
      </c>
      <c r="G5" s="8" t="n">
        <f aca="false">F5</f>
        <v>95000</v>
      </c>
      <c r="H5" s="8" t="n">
        <f aca="false">G5</f>
        <v>95000</v>
      </c>
      <c r="I5" s="8" t="n">
        <f aca="false">H5</f>
        <v>95000</v>
      </c>
      <c r="J5" s="8" t="n">
        <f aca="false">I5</f>
        <v>95000</v>
      </c>
      <c r="K5" s="8" t="n">
        <f aca="false">J5</f>
        <v>95000</v>
      </c>
      <c r="L5" s="8" t="n">
        <f aca="false">K5</f>
        <v>95000</v>
      </c>
      <c r="M5" s="8" t="n">
        <f aca="false">L5</f>
        <v>95000</v>
      </c>
      <c r="N5" s="8" t="n">
        <f aca="false">M5</f>
        <v>95000</v>
      </c>
    </row>
    <row r="6" customFormat="false" ht="15" hidden="false" customHeight="true" outlineLevel="0" collapsed="false">
      <c r="A6" s="1" t="s">
        <v>84</v>
      </c>
      <c r="B6" s="1" t="n">
        <v>0</v>
      </c>
      <c r="C6" s="8" t="n">
        <f aca="false">Assumptions!B8</f>
        <v>25000</v>
      </c>
      <c r="D6" s="8" t="n">
        <f aca="false">C6</f>
        <v>25000</v>
      </c>
      <c r="E6" s="8" t="n">
        <f aca="false">D6</f>
        <v>25000</v>
      </c>
      <c r="F6" s="8" t="n">
        <f aca="false">E6</f>
        <v>25000</v>
      </c>
      <c r="G6" s="8" t="n">
        <f aca="false">F6</f>
        <v>25000</v>
      </c>
      <c r="H6" s="8" t="n">
        <f aca="false">G6</f>
        <v>25000</v>
      </c>
      <c r="I6" s="8" t="n">
        <f aca="false">H6</f>
        <v>25000</v>
      </c>
      <c r="J6" s="8" t="n">
        <f aca="false">I6</f>
        <v>25000</v>
      </c>
      <c r="K6" s="8" t="n">
        <f aca="false">J6</f>
        <v>25000</v>
      </c>
      <c r="L6" s="8" t="n">
        <f aca="false">K6</f>
        <v>25000</v>
      </c>
      <c r="M6" s="8" t="n">
        <f aca="false">L6</f>
        <v>25000</v>
      </c>
      <c r="N6" s="8" t="n">
        <f aca="false">M6</f>
        <v>25000</v>
      </c>
    </row>
    <row r="7" customFormat="false" ht="15" hidden="false" customHeight="true" outlineLevel="0" collapsed="false">
      <c r="A7" s="1" t="s">
        <v>85</v>
      </c>
      <c r="B7" s="27" t="n">
        <f aca="false">SUM(B5:B6)</f>
        <v>95000</v>
      </c>
      <c r="C7" s="27" t="n">
        <f aca="false">SUM(C5:C6)</f>
        <v>120000</v>
      </c>
      <c r="D7" s="27" t="n">
        <f aca="false">SUM(D5:D6)</f>
        <v>120000</v>
      </c>
      <c r="E7" s="27" t="n">
        <f aca="false">SUM(E5:E6)</f>
        <v>120000</v>
      </c>
      <c r="F7" s="27" t="n">
        <f aca="false">SUM(F5:F6)</f>
        <v>120000</v>
      </c>
      <c r="G7" s="27" t="n">
        <f aca="false">SUM(G5:G6)</f>
        <v>120000</v>
      </c>
      <c r="H7" s="27" t="n">
        <f aca="false">SUM(H5:H6)</f>
        <v>120000</v>
      </c>
      <c r="I7" s="27" t="n">
        <f aca="false">SUM(I5:I6)</f>
        <v>120000</v>
      </c>
      <c r="J7" s="27" t="n">
        <f aca="false">SUM(J5:J6)</f>
        <v>120000</v>
      </c>
      <c r="K7" s="27" t="n">
        <f aca="false">SUM(K5:K6)</f>
        <v>120000</v>
      </c>
      <c r="L7" s="27" t="n">
        <f aca="false">SUM(L5:L6)</f>
        <v>120000</v>
      </c>
      <c r="M7" s="27" t="n">
        <f aca="false">SUM(M5:M6)</f>
        <v>120000</v>
      </c>
      <c r="N7" s="27" t="n">
        <f aca="false">SUM(N5:N6)</f>
        <v>120000</v>
      </c>
    </row>
    <row r="8" customFormat="false" ht="15" hidden="false" customHeight="true" outlineLevel="0" collapsed="false">
      <c r="A8" s="28" t="s">
        <v>86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customFormat="false" ht="15" hidden="false" customHeight="true" outlineLevel="0" collapsed="false">
      <c r="A9" s="1" t="s">
        <v>87</v>
      </c>
      <c r="B9" s="7" t="n">
        <f aca="false">Assumptions!B21+Assumptions!B22+Assumptions!B23</f>
        <v>6300</v>
      </c>
      <c r="C9" s="7" t="n">
        <f aca="false">Assumptions!B21+Assumptions!B22+Assumptions!B23</f>
        <v>6300</v>
      </c>
      <c r="D9" s="7" t="n">
        <f aca="false">Assumptions!B21+Assumptions!B22+Assumptions!B23</f>
        <v>6300</v>
      </c>
      <c r="E9" s="7" t="n">
        <f aca="false">Assumptions!B21+Assumptions!B22+Assumptions!B23</f>
        <v>6300</v>
      </c>
      <c r="F9" s="7" t="n">
        <f aca="false">Assumptions!B21+Assumptions!B22+Assumptions!B23</f>
        <v>6300</v>
      </c>
      <c r="G9" s="7" t="n">
        <f aca="false">Assumptions!B21+Assumptions!B22+Assumptions!B23</f>
        <v>6300</v>
      </c>
      <c r="H9" s="7" t="n">
        <f aca="false">Assumptions!B21+Assumptions!B22+Assumptions!B23</f>
        <v>6300</v>
      </c>
      <c r="I9" s="7" t="n">
        <f aca="false">Assumptions!B21+Assumptions!B22+Assumptions!B23</f>
        <v>6300</v>
      </c>
      <c r="J9" s="7" t="n">
        <f aca="false">Assumptions!B21+Assumptions!B22+Assumptions!B23</f>
        <v>6300</v>
      </c>
      <c r="K9" s="7" t="n">
        <f aca="false">Assumptions!B21+Assumptions!B22+Assumptions!B23</f>
        <v>6300</v>
      </c>
      <c r="L9" s="7" t="n">
        <f aca="false">Assumptions!B21+Assumptions!B22+Assumptions!B23</f>
        <v>6300</v>
      </c>
      <c r="M9" s="7" t="n">
        <f aca="false">Assumptions!B21+Assumptions!B22+Assumptions!B23</f>
        <v>6300</v>
      </c>
      <c r="N9" s="7" t="n">
        <f aca="false">Assumptions!B21+Assumptions!B22+Assumptions!B23</f>
        <v>6300</v>
      </c>
    </row>
    <row r="10" customFormat="false" ht="15" hidden="false" customHeight="true" outlineLevel="0" collapsed="false">
      <c r="A10" s="1" t="s">
        <v>88</v>
      </c>
      <c r="B10" s="7" t="n">
        <f aca="false">Assumptions!B24</f>
        <v>28000</v>
      </c>
      <c r="C10" s="7" t="n">
        <f aca="false">Assumptions!B24</f>
        <v>28000</v>
      </c>
      <c r="D10" s="7" t="n">
        <f aca="false">Assumptions!B24</f>
        <v>28000</v>
      </c>
      <c r="E10" s="7" t="n">
        <f aca="false">Assumptions!B24</f>
        <v>28000</v>
      </c>
      <c r="F10" s="7" t="n">
        <f aca="false">Assumptions!B24</f>
        <v>28000</v>
      </c>
      <c r="G10" s="7" t="n">
        <f aca="false">Assumptions!B24</f>
        <v>28000</v>
      </c>
      <c r="H10" s="7" t="n">
        <f aca="false">Assumptions!B24</f>
        <v>28000</v>
      </c>
      <c r="I10" s="7" t="n">
        <f aca="false">Assumptions!B24</f>
        <v>28000</v>
      </c>
      <c r="J10" s="7" t="n">
        <f aca="false">Assumptions!B24</f>
        <v>28000</v>
      </c>
      <c r="K10" s="7" t="n">
        <f aca="false">Assumptions!B24</f>
        <v>28000</v>
      </c>
      <c r="L10" s="7" t="n">
        <f aca="false">Assumptions!B24</f>
        <v>28000</v>
      </c>
      <c r="M10" s="7" t="n">
        <f aca="false">Assumptions!B24</f>
        <v>28000</v>
      </c>
      <c r="N10" s="7" t="n">
        <f aca="false">Assumptions!B24</f>
        <v>28000</v>
      </c>
    </row>
    <row r="11" customFormat="false" ht="15" hidden="false" customHeight="true" outlineLevel="0" collapsed="false">
      <c r="A11" s="1" t="s">
        <v>89</v>
      </c>
      <c r="B11" s="8" t="n">
        <f aca="false">IF(Assumptions!B26="Yes",(Assumptions!B27*(1+Assumptions!B28))/12,0)</f>
        <v>0</v>
      </c>
      <c r="C11" s="8" t="n">
        <f aca="false">IF(Assumptions!B26="Yes",(Assumptions!B27*(1+Assumptions!B28))/12,0)</f>
        <v>0</v>
      </c>
      <c r="D11" s="8" t="n">
        <f aca="false">IF(Assumptions!B26="Yes",(Assumptions!B27*(1+Assumptions!B28))/12,0)</f>
        <v>0</v>
      </c>
      <c r="E11" s="8" t="n">
        <f aca="false">IF(Assumptions!B26="Yes",(Assumptions!B27*(1+Assumptions!B28))/12,0)</f>
        <v>0</v>
      </c>
      <c r="F11" s="8" t="n">
        <f aca="false">IF(Assumptions!B26="Yes",(Assumptions!B27*(1+Assumptions!B28))/12,0)</f>
        <v>0</v>
      </c>
      <c r="G11" s="8" t="n">
        <f aca="false">IF(Assumptions!B26="Yes",(Assumptions!B27*(1+Assumptions!B28))/12,0)</f>
        <v>0</v>
      </c>
      <c r="H11" s="8" t="n">
        <f aca="false">IF(Assumptions!B26="Yes",(Assumptions!B27*(1+Assumptions!B28))/12,0)</f>
        <v>0</v>
      </c>
      <c r="I11" s="8" t="n">
        <f aca="false">IF(Assumptions!B26="Yes",(Assumptions!B27*(1+Assumptions!B28))/12,0)</f>
        <v>0</v>
      </c>
      <c r="J11" s="8" t="n">
        <f aca="false">IF(Assumptions!B26="Yes",(Assumptions!B27*(1+Assumptions!B28))/12,0)</f>
        <v>0</v>
      </c>
      <c r="K11" s="8" t="n">
        <f aca="false">IF(Assumptions!B26="Yes",(Assumptions!B27*(1+Assumptions!B28))/12,0)</f>
        <v>0</v>
      </c>
      <c r="L11" s="8" t="n">
        <f aca="false">IF(Assumptions!B26="Yes",(Assumptions!B27*(1+Assumptions!B28))/12,0)</f>
        <v>0</v>
      </c>
      <c r="M11" s="8" t="n">
        <f aca="false">IF(Assumptions!B26="Yes",(Assumptions!B27*(1+Assumptions!B28))/12,0)</f>
        <v>0</v>
      </c>
      <c r="N11" s="8" t="n">
        <f aca="false">IF(Assumptions!B26="Yes",(Assumptions!B27*(1+Assumptions!B28))/12,0)</f>
        <v>0</v>
      </c>
    </row>
    <row r="12" customFormat="false" ht="15" hidden="false" customHeight="true" outlineLevel="0" collapsed="false">
      <c r="A12" s="1" t="s">
        <v>90</v>
      </c>
      <c r="B12" s="8" t="n">
        <f aca="false">IF(Assumptions!B29="Yes",(Assumptions!B30*(1+Assumptions!B31))/12,0)</f>
        <v>0</v>
      </c>
      <c r="C12" s="8" t="n">
        <f aca="false">IF(Assumptions!B29="Yes",(Assumptions!B30*(1+Assumptions!B31))/12,0)</f>
        <v>0</v>
      </c>
      <c r="D12" s="8" t="n">
        <f aca="false">IF(Assumptions!B29="Yes",(Assumptions!B30*(1+Assumptions!B31))/12,0)</f>
        <v>0</v>
      </c>
      <c r="E12" s="8" t="n">
        <f aca="false">IF(Assumptions!B29="Yes",(Assumptions!B30*(1+Assumptions!B31))/12,0)</f>
        <v>0</v>
      </c>
      <c r="F12" s="8" t="n">
        <f aca="false">IF(Assumptions!B29="Yes",(Assumptions!B30*(1+Assumptions!B31))/12,0)</f>
        <v>0</v>
      </c>
      <c r="G12" s="8" t="n">
        <f aca="false">IF(Assumptions!B29="Yes",(Assumptions!B30*(1+Assumptions!B31))/12,0)</f>
        <v>0</v>
      </c>
      <c r="H12" s="8" t="n">
        <f aca="false">IF(Assumptions!B29="Yes",(Assumptions!B30*(1+Assumptions!B31))/12,0)</f>
        <v>0</v>
      </c>
      <c r="I12" s="8" t="n">
        <f aca="false">IF(Assumptions!B29="Yes",(Assumptions!B30*(1+Assumptions!B31))/12,0)</f>
        <v>0</v>
      </c>
      <c r="J12" s="8" t="n">
        <f aca="false">IF(Assumptions!B29="Yes",(Assumptions!B30*(1+Assumptions!B31))/12,0)</f>
        <v>0</v>
      </c>
      <c r="K12" s="8" t="n">
        <f aca="false">IF(Assumptions!B29="Yes",(Assumptions!B30*(1+Assumptions!B31))/12,0)</f>
        <v>0</v>
      </c>
      <c r="L12" s="8" t="n">
        <f aca="false">IF(Assumptions!B29="Yes",(Assumptions!B30*(1+Assumptions!B31))/12,0)</f>
        <v>0</v>
      </c>
      <c r="M12" s="8" t="n">
        <f aca="false">IF(Assumptions!B29="Yes",(Assumptions!B30*(1+Assumptions!B31))/12,0)</f>
        <v>0</v>
      </c>
      <c r="N12" s="8" t="n">
        <f aca="false">IF(Assumptions!B29="Yes",(Assumptions!B30*(1+Assumptions!B31))/12,0)</f>
        <v>0</v>
      </c>
    </row>
    <row r="13" customFormat="false" ht="15" hidden="false" customHeight="true" outlineLevel="0" collapsed="false">
      <c r="A13" s="1" t="s">
        <v>91</v>
      </c>
      <c r="B13" s="7" t="n">
        <f aca="false">Assumptions!B35</f>
        <v>4000</v>
      </c>
      <c r="C13" s="7" t="n">
        <f aca="false">Assumptions!B35</f>
        <v>4000</v>
      </c>
      <c r="D13" s="7" t="n">
        <f aca="false">Assumptions!B35</f>
        <v>4000</v>
      </c>
      <c r="E13" s="7" t="n">
        <f aca="false">Assumptions!B35</f>
        <v>4000</v>
      </c>
      <c r="F13" s="7" t="n">
        <f aca="false">Assumptions!B35</f>
        <v>4000</v>
      </c>
      <c r="G13" s="7" t="n">
        <f aca="false">Assumptions!B35</f>
        <v>4000</v>
      </c>
      <c r="H13" s="7" t="n">
        <f aca="false">Assumptions!B35</f>
        <v>4000</v>
      </c>
      <c r="I13" s="7" t="n">
        <f aca="false">Assumptions!B35</f>
        <v>4000</v>
      </c>
      <c r="J13" s="7" t="n">
        <f aca="false">Assumptions!B35</f>
        <v>4000</v>
      </c>
      <c r="K13" s="7" t="n">
        <f aca="false">Assumptions!B35</f>
        <v>4000</v>
      </c>
      <c r="L13" s="7" t="n">
        <f aca="false">Assumptions!B35</f>
        <v>4000</v>
      </c>
      <c r="M13" s="7" t="n">
        <f aca="false">Assumptions!B35</f>
        <v>4000</v>
      </c>
      <c r="N13" s="7" t="n">
        <f aca="false">Assumptions!B35</f>
        <v>4000</v>
      </c>
    </row>
    <row r="14" customFormat="false" ht="15" hidden="false" customHeight="true" outlineLevel="0" collapsed="false">
      <c r="A14" s="1" t="s">
        <v>92</v>
      </c>
      <c r="B14" s="7" t="n">
        <f aca="false">Assumptions!B36</f>
        <v>3000</v>
      </c>
      <c r="C14" s="7" t="n">
        <f aca="false">Assumptions!B36</f>
        <v>3000</v>
      </c>
      <c r="D14" s="7" t="n">
        <f aca="false">Assumptions!B36</f>
        <v>3000</v>
      </c>
      <c r="E14" s="7" t="n">
        <f aca="false">Assumptions!B36</f>
        <v>3000</v>
      </c>
      <c r="F14" s="7" t="n">
        <f aca="false">Assumptions!B36</f>
        <v>3000</v>
      </c>
      <c r="G14" s="7" t="n">
        <f aca="false">Assumptions!B36</f>
        <v>3000</v>
      </c>
      <c r="H14" s="7" t="n">
        <f aca="false">Assumptions!B36</f>
        <v>3000</v>
      </c>
      <c r="I14" s="7" t="n">
        <f aca="false">Assumptions!B36</f>
        <v>3000</v>
      </c>
      <c r="J14" s="7" t="n">
        <f aca="false">Assumptions!B36</f>
        <v>3000</v>
      </c>
      <c r="K14" s="7" t="n">
        <f aca="false">Assumptions!B36</f>
        <v>3000</v>
      </c>
      <c r="L14" s="7" t="n">
        <f aca="false">Assumptions!B36</f>
        <v>3000</v>
      </c>
      <c r="M14" s="7" t="n">
        <f aca="false">Assumptions!B36</f>
        <v>3000</v>
      </c>
      <c r="N14" s="7" t="n">
        <f aca="false">Assumptions!B36</f>
        <v>3000</v>
      </c>
    </row>
    <row r="15" customFormat="false" ht="15" hidden="false" customHeight="true" outlineLevel="0" collapsed="false">
      <c r="A15" s="1" t="s">
        <v>93</v>
      </c>
      <c r="B15" s="7" t="n">
        <f aca="false">Assumptions!B37</f>
        <v>2000</v>
      </c>
      <c r="C15" s="7" t="n">
        <f aca="false">Assumptions!B37</f>
        <v>2000</v>
      </c>
      <c r="D15" s="7" t="n">
        <f aca="false">Assumptions!B37</f>
        <v>2000</v>
      </c>
      <c r="E15" s="7" t="n">
        <f aca="false">Assumptions!B37</f>
        <v>2000</v>
      </c>
      <c r="F15" s="7" t="n">
        <f aca="false">Assumptions!B37</f>
        <v>2000</v>
      </c>
      <c r="G15" s="7" t="n">
        <f aca="false">Assumptions!B37</f>
        <v>2000</v>
      </c>
      <c r="H15" s="7" t="n">
        <f aca="false">Assumptions!B37</f>
        <v>2000</v>
      </c>
      <c r="I15" s="7" t="n">
        <f aca="false">Assumptions!B37</f>
        <v>2000</v>
      </c>
      <c r="J15" s="7" t="n">
        <f aca="false">Assumptions!B37</f>
        <v>2000</v>
      </c>
      <c r="K15" s="7" t="n">
        <f aca="false">Assumptions!B37</f>
        <v>2000</v>
      </c>
      <c r="L15" s="7" t="n">
        <f aca="false">Assumptions!B37</f>
        <v>2000</v>
      </c>
      <c r="M15" s="7" t="n">
        <f aca="false">Assumptions!B37</f>
        <v>2000</v>
      </c>
      <c r="N15" s="7" t="n">
        <f aca="false">Assumptions!B37</f>
        <v>2000</v>
      </c>
    </row>
    <row r="16" customFormat="false" ht="15" hidden="false" customHeight="true" outlineLevel="0" collapsed="false">
      <c r="A16" s="1" t="s">
        <v>94</v>
      </c>
      <c r="B16" s="7" t="n">
        <f aca="false">Assumptions!B38</f>
        <v>1500</v>
      </c>
      <c r="C16" s="7" t="n">
        <f aca="false">Assumptions!B38</f>
        <v>1500</v>
      </c>
      <c r="D16" s="7" t="n">
        <f aca="false">Assumptions!B38</f>
        <v>1500</v>
      </c>
      <c r="E16" s="7" t="n">
        <f aca="false">Assumptions!B38</f>
        <v>1500</v>
      </c>
      <c r="F16" s="7" t="n">
        <f aca="false">Assumptions!B38</f>
        <v>1500</v>
      </c>
      <c r="G16" s="7" t="n">
        <f aca="false">Assumptions!B38</f>
        <v>1500</v>
      </c>
      <c r="H16" s="7" t="n">
        <f aca="false">Assumptions!B38</f>
        <v>1500</v>
      </c>
      <c r="I16" s="7" t="n">
        <f aca="false">Assumptions!B38</f>
        <v>1500</v>
      </c>
      <c r="J16" s="7" t="n">
        <f aca="false">Assumptions!B38</f>
        <v>1500</v>
      </c>
      <c r="K16" s="7" t="n">
        <f aca="false">Assumptions!B38</f>
        <v>1500</v>
      </c>
      <c r="L16" s="7" t="n">
        <f aca="false">Assumptions!B38</f>
        <v>1500</v>
      </c>
      <c r="M16" s="7" t="n">
        <f aca="false">Assumptions!B38</f>
        <v>1500</v>
      </c>
      <c r="N16" s="7" t="n">
        <f aca="false">Assumptions!B38</f>
        <v>1500</v>
      </c>
    </row>
    <row r="17" customFormat="false" ht="15" hidden="false" customHeight="true" outlineLevel="0" collapsed="false">
      <c r="A17" s="1" t="s">
        <v>95</v>
      </c>
      <c r="B17" s="27" t="n">
        <f aca="false">SUM(B9:B16)</f>
        <v>44800</v>
      </c>
      <c r="C17" s="27" t="n">
        <f aca="false">SUM(C9:C16)</f>
        <v>44800</v>
      </c>
      <c r="D17" s="27" t="n">
        <f aca="false">SUM(D9:D16)</f>
        <v>44800</v>
      </c>
      <c r="E17" s="27" t="n">
        <f aca="false">SUM(E9:E16)</f>
        <v>44800</v>
      </c>
      <c r="F17" s="27" t="n">
        <f aca="false">SUM(F9:F16)</f>
        <v>44800</v>
      </c>
      <c r="G17" s="27" t="n">
        <f aca="false">SUM(G9:G16)</f>
        <v>44800</v>
      </c>
      <c r="H17" s="27" t="n">
        <f aca="false">SUM(H9:H16)</f>
        <v>44800</v>
      </c>
      <c r="I17" s="27" t="n">
        <f aca="false">SUM(I9:I16)</f>
        <v>44800</v>
      </c>
      <c r="J17" s="27" t="n">
        <f aca="false">SUM(J9:J16)</f>
        <v>44800</v>
      </c>
      <c r="K17" s="27" t="n">
        <f aca="false">SUM(K9:K16)</f>
        <v>44800</v>
      </c>
      <c r="L17" s="27" t="n">
        <f aca="false">SUM(L9:L16)</f>
        <v>44800</v>
      </c>
      <c r="M17" s="27" t="n">
        <f aca="false">SUM(M9:M16)</f>
        <v>44800</v>
      </c>
      <c r="N17" s="27" t="n">
        <f aca="false">SUM(N9:N16)</f>
        <v>44800</v>
      </c>
    </row>
    <row r="18" customFormat="false" ht="15" hidden="false" customHeight="true" outlineLevel="0" collapsed="false">
      <c r="A18" s="30" t="s">
        <v>96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customFormat="false" ht="15" hidden="false" customHeight="true" outlineLevel="0" collapsed="false">
      <c r="A19" s="1" t="s">
        <v>6</v>
      </c>
      <c r="B19" s="32" t="n">
        <f aca="false">B7-B17</f>
        <v>50200</v>
      </c>
      <c r="C19" s="32" t="n">
        <f aca="false">C7-C17</f>
        <v>75200</v>
      </c>
      <c r="D19" s="32" t="n">
        <f aca="false">D7-D17</f>
        <v>75200</v>
      </c>
      <c r="E19" s="32" t="n">
        <f aca="false">E7-E17</f>
        <v>75200</v>
      </c>
      <c r="F19" s="32" t="n">
        <f aca="false">F7-F17</f>
        <v>75200</v>
      </c>
      <c r="G19" s="32" t="n">
        <f aca="false">G7-G17</f>
        <v>75200</v>
      </c>
      <c r="H19" s="32" t="n">
        <f aca="false">H7-H17</f>
        <v>75200</v>
      </c>
      <c r="I19" s="32" t="n">
        <f aca="false">I7-I17</f>
        <v>75200</v>
      </c>
      <c r="J19" s="32" t="n">
        <f aca="false">J7-J17</f>
        <v>75200</v>
      </c>
      <c r="K19" s="32" t="n">
        <f aca="false">K7-K17</f>
        <v>75200</v>
      </c>
      <c r="L19" s="32" t="n">
        <f aca="false">L7-L17</f>
        <v>75200</v>
      </c>
      <c r="M19" s="32" t="n">
        <f aca="false">M7-M17</f>
        <v>75200</v>
      </c>
      <c r="N19" s="32" t="n">
        <f aca="false">N7-N17</f>
        <v>75200</v>
      </c>
    </row>
    <row r="20" customFormat="false" ht="15" hidden="false" customHeight="true" outlineLevel="0" collapsed="false">
      <c r="A20" s="1" t="s">
        <v>7</v>
      </c>
      <c r="B20" s="33" t="n">
        <f aca="false">IF(B7&gt;0,B19/B7,0)</f>
        <v>0.528421052631579</v>
      </c>
      <c r="C20" s="33" t="n">
        <f aca="false">IF(C7&gt;0,C19/C7,0)</f>
        <v>0.626666666666667</v>
      </c>
      <c r="D20" s="33" t="n">
        <f aca="false">IF(D7&gt;0,D19/D7,0)</f>
        <v>0.626666666666667</v>
      </c>
      <c r="E20" s="33" t="n">
        <f aca="false">IF(E7&gt;0,E19/E7,0)</f>
        <v>0.626666666666667</v>
      </c>
      <c r="F20" s="33" t="n">
        <f aca="false">IF(F7&gt;0,F19/F7,0)</f>
        <v>0.626666666666667</v>
      </c>
      <c r="G20" s="33" t="n">
        <f aca="false">IF(G7&gt;0,G19/G7,0)</f>
        <v>0.626666666666667</v>
      </c>
      <c r="H20" s="33" t="n">
        <f aca="false">IF(H7&gt;0,H19/H7,0)</f>
        <v>0.626666666666667</v>
      </c>
      <c r="I20" s="33" t="n">
        <f aca="false">IF(I7&gt;0,I19/I7,0)</f>
        <v>0.626666666666667</v>
      </c>
      <c r="J20" s="33" t="n">
        <f aca="false">IF(J7&gt;0,J19/J7,0)</f>
        <v>0.626666666666667</v>
      </c>
      <c r="K20" s="33" t="n">
        <f aca="false">IF(K7&gt;0,K19/K7,0)</f>
        <v>0.626666666666667</v>
      </c>
      <c r="L20" s="33" t="n">
        <f aca="false">IF(L7&gt;0,L19/L7,0)</f>
        <v>0.626666666666667</v>
      </c>
      <c r="M20" s="33" t="n">
        <f aca="false">IF(M7&gt;0,M19/M7,0)</f>
        <v>0.626666666666667</v>
      </c>
      <c r="N20" s="33" t="n">
        <f aca="false">IF(N7&gt;0,N19/N7,0)</f>
        <v>0.626666666666667</v>
      </c>
    </row>
    <row r="22" customFormat="false" ht="15" hidden="false" customHeight="true" outlineLevel="0" collapsed="false">
      <c r="A22" s="34" t="s">
        <v>97</v>
      </c>
    </row>
    <row r="23" customFormat="false" ht="15" hidden="false" customHeight="true" outlineLevel="0" collapsed="false">
      <c r="A23" s="1" t="s">
        <v>98</v>
      </c>
      <c r="B23" s="1" t="str">
        <f aca="false">IF(B7&gt;=Assumptions!B43,"YES","NO")</f>
        <v>NO</v>
      </c>
      <c r="C23" s="1" t="str">
        <f aca="false">IF(C7&gt;=Assumptions!B43,"YES","NO")</f>
        <v>YES</v>
      </c>
      <c r="D23" s="1" t="str">
        <f aca="false">IF(D7&gt;=Assumptions!B43,"YES","NO")</f>
        <v>YES</v>
      </c>
      <c r="E23" s="1" t="str">
        <f aca="false">IF(E7&gt;=Assumptions!B43,"YES","NO")</f>
        <v>YES</v>
      </c>
      <c r="F23" s="1" t="str">
        <f aca="false">IF(F7&gt;=Assumptions!B43,"YES","NO")</f>
        <v>YES</v>
      </c>
      <c r="G23" s="1" t="str">
        <f aca="false">IF(G7&gt;=Assumptions!B43,"YES","NO")</f>
        <v>YES</v>
      </c>
      <c r="H23" s="1" t="str">
        <f aca="false">IF(H7&gt;=Assumptions!B43,"YES","NO")</f>
        <v>YES</v>
      </c>
      <c r="I23" s="1" t="str">
        <f aca="false">IF(I7&gt;=Assumptions!B43,"YES","NO")</f>
        <v>YES</v>
      </c>
      <c r="J23" s="1" t="str">
        <f aca="false">IF(J7&gt;=Assumptions!B43,"YES","NO")</f>
        <v>YES</v>
      </c>
      <c r="K23" s="1" t="str">
        <f aca="false">IF(K7&gt;=Assumptions!B43,"YES","NO")</f>
        <v>YES</v>
      </c>
      <c r="L23" s="1" t="str">
        <f aca="false">IF(L7&gt;=Assumptions!B43,"YES","NO")</f>
        <v>YES</v>
      </c>
      <c r="M23" s="1" t="str">
        <f aca="false">IF(M7&gt;=Assumptions!B43,"YES","NO")</f>
        <v>YES</v>
      </c>
      <c r="N23" s="1" t="str">
        <f aca="false">IF(N7&gt;=Assumptions!B43,"YES","NO")</f>
        <v>YES</v>
      </c>
    </row>
    <row r="24" customFormat="false" ht="15" hidden="false" customHeight="true" outlineLevel="0" collapsed="false">
      <c r="A24" s="1" t="s">
        <v>99</v>
      </c>
      <c r="B24" s="1" t="str">
        <f aca="false">IF(B7&gt;=Assumptions!B44,"YES","NO")</f>
        <v>NO</v>
      </c>
      <c r="C24" s="1" t="str">
        <f aca="false">IF(C7&gt;=Assumptions!B44,"YES","NO")</f>
        <v>YES</v>
      </c>
      <c r="D24" s="1" t="str">
        <f aca="false">IF(D7&gt;=Assumptions!B44,"YES","NO")</f>
        <v>YES</v>
      </c>
      <c r="E24" s="1" t="str">
        <f aca="false">IF(E7&gt;=Assumptions!B44,"YES","NO")</f>
        <v>YES</v>
      </c>
      <c r="F24" s="1" t="str">
        <f aca="false">IF(F7&gt;=Assumptions!B44,"YES","NO")</f>
        <v>YES</v>
      </c>
      <c r="G24" s="1" t="str">
        <f aca="false">IF(G7&gt;=Assumptions!B44,"YES","NO")</f>
        <v>YES</v>
      </c>
      <c r="H24" s="1" t="str">
        <f aca="false">IF(H7&gt;=Assumptions!B44,"YES","NO")</f>
        <v>YES</v>
      </c>
      <c r="I24" s="1" t="str">
        <f aca="false">IF(I7&gt;=Assumptions!B44,"YES","NO")</f>
        <v>YES</v>
      </c>
      <c r="J24" s="1" t="str">
        <f aca="false">IF(J7&gt;=Assumptions!B44,"YES","NO")</f>
        <v>YES</v>
      </c>
      <c r="K24" s="1" t="str">
        <f aca="false">IF(K7&gt;=Assumptions!B44,"YES","NO")</f>
        <v>YES</v>
      </c>
      <c r="L24" s="1" t="str">
        <f aca="false">IF(L7&gt;=Assumptions!B44,"YES","NO")</f>
        <v>YES</v>
      </c>
      <c r="M24" s="1" t="str">
        <f aca="false">IF(M7&gt;=Assumptions!B44,"YES","NO")</f>
        <v>YES</v>
      </c>
      <c r="N24" s="1" t="str">
        <f aca="false">IF(N7&gt;=Assumptions!B44,"YES","NO")</f>
        <v>YES</v>
      </c>
    </row>
    <row r="25" customFormat="false" ht="15" hidden="false" customHeight="true" outlineLevel="0" collapsed="false">
      <c r="A25" s="1" t="s">
        <v>100</v>
      </c>
      <c r="B25" s="1" t="str">
        <f aca="false">IF(B20&gt;=Assumptions!B42,"YES","NO")</f>
        <v>YES</v>
      </c>
      <c r="C25" s="1" t="str">
        <f aca="false">IF(C20&gt;=Assumptions!B42,"YES","NO")</f>
        <v>YES</v>
      </c>
      <c r="D25" s="1" t="str">
        <f aca="false">IF(D20&gt;=Assumptions!B42,"YES","NO")</f>
        <v>YES</v>
      </c>
      <c r="E25" s="1" t="str">
        <f aca="false">IF(E20&gt;=Assumptions!B42,"YES","NO")</f>
        <v>YES</v>
      </c>
      <c r="F25" s="1" t="str">
        <f aca="false">IF(F20&gt;=Assumptions!B42,"YES","NO")</f>
        <v>YES</v>
      </c>
      <c r="G25" s="1" t="str">
        <f aca="false">IF(G20&gt;=Assumptions!B42,"YES","NO")</f>
        <v>YES</v>
      </c>
      <c r="H25" s="1" t="str">
        <f aca="false">IF(H20&gt;=Assumptions!B42,"YES","NO")</f>
        <v>YES</v>
      </c>
      <c r="I25" s="1" t="str">
        <f aca="false">IF(I20&gt;=Assumptions!B42,"YES","NO")</f>
        <v>YES</v>
      </c>
      <c r="J25" s="1" t="str">
        <f aca="false">IF(J20&gt;=Assumptions!B42,"YES","NO")</f>
        <v>YES</v>
      </c>
      <c r="K25" s="1" t="str">
        <f aca="false">IF(K20&gt;=Assumptions!B42,"YES","NO")</f>
        <v>YES</v>
      </c>
      <c r="L25" s="1" t="str">
        <f aca="false">IF(L20&gt;=Assumptions!B42,"YES","NO")</f>
        <v>YES</v>
      </c>
      <c r="M25" s="1" t="str">
        <f aca="false">IF(M20&gt;=Assumptions!B42,"YES","NO")</f>
        <v>YES</v>
      </c>
      <c r="N25" s="1" t="str">
        <f aca="false">IF(N20&gt;=Assumptions!B42,"YES","NO")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5" min="4" style="1" width="15"/>
    <col collapsed="false" customWidth="true" hidden="false" outlineLevel="0" max="6" min="6" style="1" width="35"/>
  </cols>
  <sheetData>
    <row r="1" customFormat="false" ht="19.5" hidden="false" customHeight="true" outlineLevel="0" collapsed="false">
      <c r="A1" s="17" t="s">
        <v>101</v>
      </c>
    </row>
    <row r="3" customFormat="false" ht="15" hidden="false" customHeight="true" outlineLevel="0" collapsed="false">
      <c r="A3" s="5" t="s">
        <v>102</v>
      </c>
      <c r="B3" s="5" t="s">
        <v>103</v>
      </c>
      <c r="C3" s="5" t="s">
        <v>104</v>
      </c>
      <c r="D3" s="5" t="s">
        <v>105</v>
      </c>
      <c r="E3" s="5" t="s">
        <v>106</v>
      </c>
      <c r="F3" s="5" t="s">
        <v>107</v>
      </c>
    </row>
    <row r="4" customFormat="false" ht="15" hidden="false" customHeight="true" outlineLevel="0" collapsed="false">
      <c r="A4" s="35" t="s">
        <v>108</v>
      </c>
      <c r="B4" s="35"/>
      <c r="C4" s="35"/>
      <c r="D4" s="35"/>
      <c r="E4" s="35"/>
      <c r="F4" s="35"/>
    </row>
    <row r="5" customFormat="false" ht="15" hidden="false" customHeight="true" outlineLevel="0" collapsed="false">
      <c r="A5" s="1" t="s">
        <v>109</v>
      </c>
      <c r="B5" s="1" t="s">
        <v>110</v>
      </c>
      <c r="C5" s="1" t="s">
        <v>111</v>
      </c>
      <c r="D5" s="20" t="n">
        <v>3600</v>
      </c>
      <c r="E5" s="8" t="n">
        <f aca="false">D5*12</f>
        <v>43200</v>
      </c>
      <c r="F5" s="1" t="s">
        <v>112</v>
      </c>
    </row>
    <row r="6" customFormat="false" ht="15" hidden="false" customHeight="true" outlineLevel="0" collapsed="false">
      <c r="A6" s="1" t="s">
        <v>113</v>
      </c>
      <c r="B6" s="1" t="s">
        <v>114</v>
      </c>
      <c r="C6" s="1" t="s">
        <v>111</v>
      </c>
      <c r="D6" s="20" t="n">
        <v>2500</v>
      </c>
      <c r="E6" s="8" t="n">
        <f aca="false">D6*12</f>
        <v>30000</v>
      </c>
      <c r="F6" s="1" t="s">
        <v>115</v>
      </c>
    </row>
    <row r="7" customFormat="false" ht="15" hidden="false" customHeight="true" outlineLevel="0" collapsed="false">
      <c r="A7" s="1" t="s">
        <v>116</v>
      </c>
      <c r="B7" s="1" t="s">
        <v>117</v>
      </c>
      <c r="C7" s="1" t="s">
        <v>118</v>
      </c>
      <c r="D7" s="20" t="n">
        <v>200</v>
      </c>
      <c r="E7" s="8" t="n">
        <f aca="false">D7*12</f>
        <v>2400</v>
      </c>
      <c r="F7" s="1" t="s">
        <v>46</v>
      </c>
    </row>
    <row r="8" customFormat="false" ht="15" hidden="false" customHeight="true" outlineLevel="0" collapsed="false">
      <c r="D8" s="8"/>
      <c r="E8" s="8"/>
    </row>
    <row r="9" customFormat="false" ht="15" hidden="false" customHeight="true" outlineLevel="0" collapsed="false">
      <c r="A9" s="36" t="s">
        <v>119</v>
      </c>
      <c r="B9" s="36"/>
      <c r="C9" s="36"/>
      <c r="D9" s="36"/>
      <c r="E9" s="36"/>
      <c r="F9" s="36"/>
    </row>
    <row r="10" customFormat="false" ht="15" hidden="false" customHeight="true" outlineLevel="0" collapsed="false">
      <c r="A10" s="1" t="s">
        <v>120</v>
      </c>
      <c r="B10" s="1" t="s">
        <v>121</v>
      </c>
      <c r="C10" s="1" t="s">
        <v>118</v>
      </c>
      <c r="D10" s="20" t="n">
        <v>5000</v>
      </c>
      <c r="E10" s="8" t="n">
        <f aca="false">D10*12</f>
        <v>60000</v>
      </c>
    </row>
    <row r="11" customFormat="false" ht="15" hidden="false" customHeight="true" outlineLevel="0" collapsed="false">
      <c r="A11" s="1" t="s">
        <v>122</v>
      </c>
      <c r="B11" s="1" t="s">
        <v>123</v>
      </c>
      <c r="C11" s="1" t="s">
        <v>118</v>
      </c>
      <c r="D11" s="20" t="n">
        <v>4000</v>
      </c>
      <c r="E11" s="8" t="n">
        <f aca="false">D11*12</f>
        <v>48000</v>
      </c>
    </row>
    <row r="12" customFormat="false" ht="15" hidden="false" customHeight="true" outlineLevel="0" collapsed="false">
      <c r="A12" s="1" t="s">
        <v>124</v>
      </c>
      <c r="B12" s="1" t="s">
        <v>123</v>
      </c>
      <c r="C12" s="1" t="s">
        <v>118</v>
      </c>
      <c r="D12" s="20" t="n">
        <v>4500</v>
      </c>
      <c r="E12" s="8" t="n">
        <f aca="false">D12*12</f>
        <v>54000</v>
      </c>
    </row>
    <row r="13" customFormat="false" ht="15" hidden="false" customHeight="true" outlineLevel="0" collapsed="false">
      <c r="A13" s="1" t="s">
        <v>125</v>
      </c>
      <c r="B13" s="1" t="s">
        <v>123</v>
      </c>
      <c r="C13" s="1" t="s">
        <v>118</v>
      </c>
      <c r="D13" s="20" t="n">
        <v>1500</v>
      </c>
      <c r="E13" s="8" t="n">
        <f aca="false">D13*12</f>
        <v>18000</v>
      </c>
    </row>
    <row r="14" customFormat="false" ht="15" hidden="false" customHeight="true" outlineLevel="0" collapsed="false">
      <c r="A14" s="1" t="s">
        <v>126</v>
      </c>
      <c r="B14" s="1" t="s">
        <v>127</v>
      </c>
      <c r="C14" s="1" t="s">
        <v>118</v>
      </c>
      <c r="D14" s="20" t="n">
        <v>13000</v>
      </c>
      <c r="E14" s="8" t="n">
        <f aca="false">D14*12</f>
        <v>156000</v>
      </c>
      <c r="F14" s="1" t="s">
        <v>128</v>
      </c>
    </row>
    <row r="15" customFormat="false" ht="15" hidden="false" customHeight="true" outlineLevel="0" collapsed="false">
      <c r="D15" s="8"/>
      <c r="E15" s="8"/>
    </row>
    <row r="16" customFormat="false" ht="15" hidden="false" customHeight="true" outlineLevel="0" collapsed="false">
      <c r="A16" s="37" t="s">
        <v>129</v>
      </c>
      <c r="B16" s="37"/>
      <c r="C16" s="37"/>
      <c r="D16" s="37"/>
      <c r="E16" s="37"/>
      <c r="F16" s="37"/>
    </row>
    <row r="17" customFormat="false" ht="15" hidden="false" customHeight="true" outlineLevel="0" collapsed="false">
      <c r="A17" s="1" t="s">
        <v>15</v>
      </c>
      <c r="B17" s="1" t="s">
        <v>130</v>
      </c>
      <c r="C17" s="1" t="s">
        <v>111</v>
      </c>
      <c r="D17" s="8" t="n">
        <f aca="false">Assumptions!B27/12</f>
        <v>8333.33333333333</v>
      </c>
      <c r="E17" s="8" t="n">
        <f aca="false">Assumptions!B27</f>
        <v>100000</v>
      </c>
      <c r="F17" s="1" t="s">
        <v>131</v>
      </c>
    </row>
    <row r="18" customFormat="false" ht="15" hidden="false" customHeight="true" outlineLevel="0" collapsed="false">
      <c r="A18" s="1" t="s">
        <v>16</v>
      </c>
      <c r="B18" s="1" t="s">
        <v>132</v>
      </c>
      <c r="C18" s="1" t="s">
        <v>111</v>
      </c>
      <c r="D18" s="8" t="n">
        <f aca="false">Assumptions!B30/12</f>
        <v>5833.33333333333</v>
      </c>
      <c r="E18" s="8" t="n">
        <f aca="false">Assumptions!B30</f>
        <v>70000</v>
      </c>
      <c r="F18" s="1" t="s">
        <v>133</v>
      </c>
    </row>
    <row r="19" customFormat="false" ht="15" hidden="false" customHeight="true" outlineLevel="0" collapsed="false">
      <c r="D19" s="8"/>
      <c r="E19" s="8"/>
    </row>
    <row r="20" customFormat="false" ht="15" hidden="false" customHeight="true" outlineLevel="0" collapsed="false">
      <c r="A20" s="34" t="s">
        <v>134</v>
      </c>
      <c r="D20" s="8"/>
      <c r="E20" s="8"/>
    </row>
    <row r="21" customFormat="false" ht="15" hidden="false" customHeight="true" outlineLevel="0" collapsed="false">
      <c r="A21" s="1" t="s">
        <v>135</v>
      </c>
      <c r="D21" s="27" t="n">
        <f aca="false">SUM(D5:D7)</f>
        <v>6300</v>
      </c>
      <c r="E21" s="8" t="n">
        <f aca="false">D21*12</f>
        <v>75600</v>
      </c>
    </row>
    <row r="22" customFormat="false" ht="15" hidden="false" customHeight="true" outlineLevel="0" collapsed="false">
      <c r="A22" s="1" t="s">
        <v>136</v>
      </c>
      <c r="D22" s="27" t="n">
        <f aca="false">SUM(D10:D14)</f>
        <v>28000</v>
      </c>
      <c r="E22" s="8" t="n">
        <f aca="false">D22*12</f>
        <v>336000</v>
      </c>
    </row>
    <row r="23" customFormat="false" ht="15" hidden="false" customHeight="true" outlineLevel="0" collapsed="false">
      <c r="A23" s="1" t="s">
        <v>137</v>
      </c>
      <c r="D23" s="27" t="n">
        <f aca="false">D21+D22</f>
        <v>34300</v>
      </c>
      <c r="E23" s="8" t="n">
        <f aca="false">D23*12</f>
        <v>411600</v>
      </c>
    </row>
    <row r="24" customFormat="false" ht="15" hidden="false" customHeight="true" outlineLevel="0" collapsed="false">
      <c r="A24" s="1" t="s">
        <v>138</v>
      </c>
      <c r="D24" s="8"/>
      <c r="E24" s="27" t="n">
        <f aca="false">E17+E18</f>
        <v>170000</v>
      </c>
    </row>
  </sheetData>
  <mergeCells count="3">
    <mergeCell ref="A4:F4"/>
    <mergeCell ref="A9:F9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5" min="4" style="1" width="15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17" t="s">
        <v>139</v>
      </c>
    </row>
    <row r="2" customFormat="false" ht="15" hidden="false" customHeight="true" outlineLevel="0" collapsed="false">
      <c r="A2" s="38" t="s">
        <v>140</v>
      </c>
    </row>
    <row r="4" customFormat="false" ht="15" hidden="false" customHeight="true" outlineLevel="0" collapsed="false">
      <c r="A4" s="39" t="s">
        <v>141</v>
      </c>
      <c r="B4" s="39"/>
      <c r="C4" s="39"/>
      <c r="D4" s="39"/>
      <c r="E4" s="39"/>
    </row>
    <row r="6" customFormat="false" ht="15" hidden="false" customHeight="true" outlineLevel="0" collapsed="false">
      <c r="A6" s="34" t="s">
        <v>142</v>
      </c>
    </row>
    <row r="7" customFormat="false" ht="15" hidden="false" customHeight="true" outlineLevel="0" collapsed="false">
      <c r="A7" s="1" t="s">
        <v>143</v>
      </c>
    </row>
    <row r="8" customFormat="false" ht="15" hidden="false" customHeight="true" outlineLevel="0" collapsed="false">
      <c r="A8" s="1" t="s">
        <v>144</v>
      </c>
    </row>
    <row r="10" customFormat="false" ht="15" hidden="false" customHeight="true" outlineLevel="0" collapsed="false">
      <c r="A10" s="39" t="s">
        <v>145</v>
      </c>
      <c r="B10" s="39"/>
      <c r="C10" s="39"/>
      <c r="D10" s="39"/>
      <c r="E10" s="39"/>
    </row>
    <row r="12" customFormat="false" ht="15" hidden="false" customHeight="true" outlineLevel="0" collapsed="false">
      <c r="A12" s="1" t="s">
        <v>146</v>
      </c>
      <c r="B12" s="19" t="n">
        <v>285000</v>
      </c>
      <c r="C12" s="1" t="s">
        <v>147</v>
      </c>
    </row>
    <row r="13" customFormat="false" ht="15" hidden="false" customHeight="true" outlineLevel="0" collapsed="false">
      <c r="A13" s="1" t="s">
        <v>148</v>
      </c>
      <c r="B13" s="19" t="n">
        <v>170000</v>
      </c>
    </row>
    <row r="14" customFormat="false" ht="15" hidden="false" customHeight="true" outlineLevel="0" collapsed="false">
      <c r="A14" s="1" t="s">
        <v>149</v>
      </c>
      <c r="B14" s="8" t="n">
        <f aca="false">B12-B13</f>
        <v>115000</v>
      </c>
    </row>
    <row r="15" customFormat="false" ht="15" hidden="false" customHeight="true" outlineLevel="0" collapsed="false">
      <c r="A15" s="1" t="s">
        <v>150</v>
      </c>
      <c r="B15" s="9" t="n">
        <f aca="false">IF(B12&gt;0,B14/B12,0)</f>
        <v>0.403508771929825</v>
      </c>
    </row>
    <row r="16" customFormat="false" ht="15" hidden="false" customHeight="true" outlineLevel="0" collapsed="false">
      <c r="A16" s="1" t="s">
        <v>151</v>
      </c>
      <c r="B16" s="22" t="n">
        <v>0.3</v>
      </c>
    </row>
    <row r="17" customFormat="false" ht="15" hidden="false" customHeight="true" outlineLevel="0" collapsed="false">
      <c r="A17" s="1" t="s">
        <v>152</v>
      </c>
      <c r="B17" s="22" t="n">
        <v>0.1</v>
      </c>
    </row>
    <row r="18" customFormat="false" ht="15" hidden="false" customHeight="true" outlineLevel="0" collapsed="false">
      <c r="A18" s="1" t="s">
        <v>153</v>
      </c>
      <c r="B18" s="1" t="str">
        <f aca="false">IF(B15&gt;=B16,"YES","NO")</f>
        <v>YES</v>
      </c>
    </row>
    <row r="19" customFormat="false" ht="15" hidden="false" customHeight="true" outlineLevel="0" collapsed="false">
      <c r="A19" s="1" t="s">
        <v>154</v>
      </c>
      <c r="B19" s="27" t="n">
        <f aca="false">IF(B18="YES",B14*B17,0)</f>
        <v>11500</v>
      </c>
    </row>
    <row r="21" customFormat="false" ht="15" hidden="false" customHeight="true" outlineLevel="0" collapsed="false">
      <c r="A21" s="39" t="s">
        <v>155</v>
      </c>
      <c r="B21" s="39"/>
      <c r="C21" s="39"/>
      <c r="D21" s="39"/>
      <c r="E21" s="39"/>
    </row>
    <row r="23" customFormat="false" ht="15" hidden="false" customHeight="true" outlineLevel="0" collapsed="false">
      <c r="A23" s="40" t="s">
        <v>156</v>
      </c>
      <c r="B23" s="40" t="s">
        <v>157</v>
      </c>
      <c r="C23" s="40" t="s">
        <v>158</v>
      </c>
      <c r="D23" s="40" t="s">
        <v>159</v>
      </c>
      <c r="E23" s="40" t="s">
        <v>160</v>
      </c>
    </row>
    <row r="24" customFormat="false" ht="15" hidden="false" customHeight="true" outlineLevel="0" collapsed="false">
      <c r="A24" s="1" t="s">
        <v>109</v>
      </c>
      <c r="B24" s="41" t="n">
        <v>2</v>
      </c>
      <c r="C24" s="21" t="n">
        <v>4</v>
      </c>
      <c r="D24" s="1" t="n">
        <f aca="false">B24*C24</f>
        <v>8</v>
      </c>
      <c r="E24" s="8" t="n">
        <f aca="false">IF($B$19&gt;0,($B$19*D24)/SUM($D$24:$D$28),0)</f>
        <v>5411.76470588235</v>
      </c>
    </row>
    <row r="25" customFormat="false" ht="15" hidden="false" customHeight="true" outlineLevel="0" collapsed="false">
      <c r="A25" s="1" t="s">
        <v>113</v>
      </c>
      <c r="B25" s="41" t="n">
        <v>1.5</v>
      </c>
      <c r="C25" s="21" t="n">
        <v>4</v>
      </c>
      <c r="D25" s="1" t="n">
        <f aca="false">B25*C25</f>
        <v>6</v>
      </c>
      <c r="E25" s="8" t="n">
        <f aca="false">IF($B$19&gt;0,($B$19*D25)/SUM($D$24:$D$28),0)</f>
        <v>4058.82352941177</v>
      </c>
    </row>
    <row r="26" customFormat="false" ht="15" hidden="false" customHeight="true" outlineLevel="0" collapsed="false">
      <c r="A26" s="1" t="s">
        <v>89</v>
      </c>
      <c r="B26" s="41" t="n">
        <v>2.5</v>
      </c>
      <c r="C26" s="21" t="n">
        <v>0</v>
      </c>
      <c r="D26" s="1" t="n">
        <f aca="false">B26*C26</f>
        <v>0</v>
      </c>
      <c r="E26" s="8" t="n">
        <f aca="false">IF($B$19&gt;0,($B$19*D26)/SUM($D$24:$D$28),0)</f>
        <v>0</v>
      </c>
      <c r="F26" s="1" t="s">
        <v>161</v>
      </c>
    </row>
    <row r="27" customFormat="false" ht="15" hidden="false" customHeight="true" outlineLevel="0" collapsed="false">
      <c r="A27" s="1" t="s">
        <v>90</v>
      </c>
      <c r="B27" s="41" t="n">
        <v>2</v>
      </c>
      <c r="C27" s="21" t="n">
        <v>0</v>
      </c>
      <c r="D27" s="1" t="n">
        <f aca="false">B27*C27</f>
        <v>0</v>
      </c>
      <c r="E27" s="8" t="n">
        <f aca="false">IF($B$19&gt;0,($B$19*D27)/SUM($D$24:$D$28),0)</f>
        <v>0</v>
      </c>
    </row>
    <row r="28" customFormat="false" ht="15" hidden="false" customHeight="true" outlineLevel="0" collapsed="false">
      <c r="A28" s="1" t="s">
        <v>162</v>
      </c>
      <c r="B28" s="41" t="n">
        <v>1</v>
      </c>
      <c r="C28" s="21" t="n">
        <v>3</v>
      </c>
      <c r="D28" s="1" t="n">
        <f aca="false">B28*C28</f>
        <v>3</v>
      </c>
      <c r="E28" s="8" t="n">
        <f aca="false">IF($B$19&gt;0,($B$19*D28)/SUM($D$24:$D$28),0)</f>
        <v>2029.41176470588</v>
      </c>
      <c r="F28" s="1" t="s">
        <v>163</v>
      </c>
    </row>
    <row r="29" customFormat="false" ht="15" hidden="false" customHeight="true" outlineLevel="0" collapsed="false">
      <c r="A29" s="34" t="s">
        <v>164</v>
      </c>
      <c r="D29" s="34" t="n">
        <f aca="false">SUM(D24:D28)</f>
        <v>17</v>
      </c>
      <c r="E29" s="27" t="n">
        <f aca="false">SUM(E24:E28)</f>
        <v>11500</v>
      </c>
    </row>
    <row r="31" customFormat="false" ht="15" hidden="false" customHeight="true" outlineLevel="0" collapsed="false">
      <c r="A31" s="39" t="s">
        <v>165</v>
      </c>
      <c r="B31" s="39"/>
      <c r="C31" s="39"/>
      <c r="D31" s="39"/>
      <c r="E31" s="39"/>
    </row>
    <row r="33" customFormat="false" ht="15" hidden="false" customHeight="true" outlineLevel="0" collapsed="false">
      <c r="A33" s="1" t="s">
        <v>166</v>
      </c>
    </row>
    <row r="34" customFormat="false" ht="15" hidden="false" customHeight="true" outlineLevel="0" collapsed="false">
      <c r="A34" s="1" t="s">
        <v>167</v>
      </c>
    </row>
    <row r="35" customFormat="false" ht="15" hidden="false" customHeight="true" outlineLevel="0" collapsed="false">
      <c r="A35" s="1" t="s">
        <v>168</v>
      </c>
    </row>
    <row r="36" customFormat="false" ht="15" hidden="false" customHeight="true" outlineLevel="0" collapsed="false">
      <c r="A36" s="1" t="s">
        <v>169</v>
      </c>
    </row>
    <row r="37" customFormat="false" ht="15" hidden="false" customHeight="true" outlineLevel="0" collapsed="false">
      <c r="A37" s="1" t="s">
        <v>170</v>
      </c>
    </row>
    <row r="38" customFormat="false" ht="15" hidden="false" customHeight="true" outlineLevel="0" collapsed="false">
      <c r="A38" s="1" t="s">
        <v>171</v>
      </c>
    </row>
  </sheetData>
  <mergeCells count="4">
    <mergeCell ref="A4:E4"/>
    <mergeCell ref="A10:E10"/>
    <mergeCell ref="A21:E21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4" min="2" style="1" width="15"/>
    <col collapsed="false" customWidth="true" hidden="false" outlineLevel="0" max="5" min="5" style="1" width="12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17" t="s">
        <v>172</v>
      </c>
    </row>
    <row r="2" customFormat="false" ht="15" hidden="false" customHeight="true" outlineLevel="0" collapsed="false">
      <c r="A2" s="38" t="s">
        <v>173</v>
      </c>
    </row>
    <row r="3" customFormat="false" ht="15" hidden="false" customHeight="true" outlineLevel="0" collapsed="false">
      <c r="A3" s="1" t="s">
        <v>174</v>
      </c>
      <c r="B3" s="21" t="s">
        <v>175</v>
      </c>
    </row>
    <row r="4" customFormat="false" ht="15" hidden="false" customHeight="true" outlineLevel="0" collapsed="false">
      <c r="A4" s="5" t="s">
        <v>176</v>
      </c>
      <c r="B4" s="5" t="s">
        <v>177</v>
      </c>
      <c r="C4" s="5" t="s">
        <v>178</v>
      </c>
      <c r="D4" s="5" t="s">
        <v>179</v>
      </c>
      <c r="E4" s="5" t="s">
        <v>180</v>
      </c>
      <c r="F4" s="5" t="s">
        <v>107</v>
      </c>
    </row>
    <row r="5" customFormat="false" ht="15" hidden="false" customHeight="true" outlineLevel="0" collapsed="false">
      <c r="A5" s="25" t="s">
        <v>27</v>
      </c>
      <c r="B5" s="26"/>
      <c r="C5" s="26"/>
      <c r="D5" s="26"/>
      <c r="E5" s="26"/>
      <c r="F5" s="26"/>
    </row>
    <row r="6" customFormat="false" ht="15" hidden="false" customHeight="true" outlineLevel="0" collapsed="false">
      <c r="A6" s="1" t="s">
        <v>181</v>
      </c>
      <c r="B6" s="19" t="n">
        <v>95000</v>
      </c>
      <c r="C6" s="19" t="n">
        <v>0</v>
      </c>
      <c r="D6" s="10" t="n">
        <f aca="false">C6-B6</f>
        <v>-95000</v>
      </c>
      <c r="E6" s="9" t="n">
        <f aca="false">IF(B6&gt;0,D6/B6,0)</f>
        <v>-1</v>
      </c>
    </row>
    <row r="8" customFormat="false" ht="15" hidden="false" customHeight="true" outlineLevel="0" collapsed="false">
      <c r="A8" s="28" t="s">
        <v>86</v>
      </c>
      <c r="B8" s="29"/>
      <c r="C8" s="29"/>
      <c r="D8" s="29"/>
      <c r="E8" s="29"/>
      <c r="F8" s="29"/>
    </row>
    <row r="9" customFormat="false" ht="15" hidden="false" customHeight="true" outlineLevel="0" collapsed="false">
      <c r="A9" s="1" t="s">
        <v>182</v>
      </c>
      <c r="B9" s="19" t="n">
        <v>6300</v>
      </c>
      <c r="C9" s="19" t="n">
        <v>0</v>
      </c>
      <c r="D9" s="10" t="n">
        <f aca="false">C9-B9</f>
        <v>-6300</v>
      </c>
      <c r="E9" s="9" t="n">
        <f aca="false">IF(B9&gt;0,D9/B9,0)</f>
        <v>-1</v>
      </c>
    </row>
    <row r="10" customFormat="false" ht="15" hidden="false" customHeight="true" outlineLevel="0" collapsed="false">
      <c r="A10" s="1" t="s">
        <v>88</v>
      </c>
      <c r="B10" s="19" t="n">
        <v>28000</v>
      </c>
      <c r="C10" s="19" t="n">
        <v>0</v>
      </c>
      <c r="D10" s="10" t="n">
        <f aca="false">C10-B10</f>
        <v>-28000</v>
      </c>
      <c r="E10" s="9" t="n">
        <f aca="false">IF(B10&gt;0,D10/B10,0)</f>
        <v>-1</v>
      </c>
    </row>
    <row r="11" customFormat="false" ht="15" hidden="false" customHeight="true" outlineLevel="0" collapsed="false">
      <c r="A11" s="1" t="s">
        <v>15</v>
      </c>
      <c r="B11" s="19" t="n">
        <v>0</v>
      </c>
      <c r="C11" s="19" t="n">
        <v>0</v>
      </c>
      <c r="D11" s="10" t="n">
        <f aca="false">C11-B11</f>
        <v>0</v>
      </c>
      <c r="E11" s="9" t="n">
        <f aca="false">IF(B11&gt;0,D11/B11,0)</f>
        <v>0</v>
      </c>
    </row>
    <row r="12" customFormat="false" ht="15" hidden="false" customHeight="true" outlineLevel="0" collapsed="false">
      <c r="A12" s="1" t="s">
        <v>16</v>
      </c>
      <c r="B12" s="19" t="n">
        <v>0</v>
      </c>
      <c r="C12" s="19" t="n">
        <v>0</v>
      </c>
      <c r="D12" s="10" t="n">
        <f aca="false">C12-B12</f>
        <v>0</v>
      </c>
      <c r="E12" s="9" t="n">
        <f aca="false">IF(B12&gt;0,D12/B12,0)</f>
        <v>0</v>
      </c>
    </row>
    <row r="13" customFormat="false" ht="15" hidden="false" customHeight="true" outlineLevel="0" collapsed="false">
      <c r="A13" s="1" t="s">
        <v>183</v>
      </c>
      <c r="B13" s="19" t="n">
        <v>4000</v>
      </c>
      <c r="C13" s="19" t="n">
        <v>0</v>
      </c>
      <c r="D13" s="10" t="n">
        <f aca="false">C13-B13</f>
        <v>-4000</v>
      </c>
      <c r="E13" s="9" t="n">
        <f aca="false">IF(B13&gt;0,D13/B13,0)</f>
        <v>-1</v>
      </c>
    </row>
    <row r="14" customFormat="false" ht="15" hidden="false" customHeight="true" outlineLevel="0" collapsed="false">
      <c r="A14" s="1" t="s">
        <v>92</v>
      </c>
      <c r="B14" s="19" t="n">
        <v>3000</v>
      </c>
      <c r="C14" s="19" t="n">
        <v>0</v>
      </c>
      <c r="D14" s="10" t="n">
        <f aca="false">C14-B14</f>
        <v>-3000</v>
      </c>
      <c r="E14" s="9" t="n">
        <f aca="false">IF(B14&gt;0,D14/B14,0)</f>
        <v>-1</v>
      </c>
    </row>
    <row r="15" customFormat="false" ht="15" hidden="false" customHeight="true" outlineLevel="0" collapsed="false">
      <c r="A15" s="1" t="s">
        <v>93</v>
      </c>
      <c r="B15" s="19" t="n">
        <v>2000</v>
      </c>
      <c r="C15" s="19" t="n">
        <v>0</v>
      </c>
      <c r="D15" s="10" t="n">
        <f aca="false">C15-B15</f>
        <v>-2000</v>
      </c>
      <c r="E15" s="9" t="n">
        <f aca="false">IF(B15&gt;0,D15/B15,0)</f>
        <v>-1</v>
      </c>
    </row>
    <row r="16" customFormat="false" ht="15" hidden="false" customHeight="true" outlineLevel="0" collapsed="false">
      <c r="A16" s="1" t="s">
        <v>94</v>
      </c>
      <c r="B16" s="19" t="n">
        <v>1500</v>
      </c>
      <c r="C16" s="19" t="n">
        <v>0</v>
      </c>
      <c r="D16" s="10" t="n">
        <f aca="false">C16-B16</f>
        <v>-1500</v>
      </c>
      <c r="E16" s="9" t="n">
        <f aca="false">IF(B16&gt;0,D16/B16,0)</f>
        <v>-1</v>
      </c>
    </row>
    <row r="17" customFormat="false" ht="15" hidden="false" customHeight="true" outlineLevel="0" collapsed="false">
      <c r="A17" s="34" t="s">
        <v>95</v>
      </c>
      <c r="B17" s="27" t="n">
        <f aca="false">SUM(B9:B16)</f>
        <v>44800</v>
      </c>
      <c r="C17" s="27" t="n">
        <f aca="false">SUM(C9:C16)</f>
        <v>0</v>
      </c>
      <c r="D17" s="10" t="n">
        <f aca="false">C17-B17</f>
        <v>-44800</v>
      </c>
      <c r="E17" s="9" t="n">
        <f aca="false">IF(B17&gt;0,D17/B17,0)</f>
        <v>-1</v>
      </c>
    </row>
    <row r="19" customFormat="false" ht="15" hidden="false" customHeight="true" outlineLevel="0" collapsed="false">
      <c r="A19" s="30" t="s">
        <v>96</v>
      </c>
      <c r="B19" s="31"/>
      <c r="C19" s="31"/>
      <c r="D19" s="31"/>
      <c r="E19" s="31"/>
      <c r="F19" s="31"/>
    </row>
    <row r="20" customFormat="false" ht="15" hidden="false" customHeight="true" outlineLevel="0" collapsed="false">
      <c r="A20" s="1" t="s">
        <v>6</v>
      </c>
      <c r="B20" s="32" t="n">
        <f aca="false">B6-B17</f>
        <v>50200</v>
      </c>
      <c r="C20" s="32" t="n">
        <f aca="false">C6-C17</f>
        <v>0</v>
      </c>
      <c r="D20" s="10" t="n">
        <f aca="false">C20-B20</f>
        <v>-50200</v>
      </c>
      <c r="E20" s="9" t="n">
        <f aca="false">IF(B20&lt;&gt;0,D20/ABS(B20),0)</f>
        <v>-1</v>
      </c>
    </row>
    <row r="21" customFormat="false" ht="15" hidden="false" customHeight="true" outlineLevel="0" collapsed="false">
      <c r="A21" s="1" t="s">
        <v>7</v>
      </c>
      <c r="B21" s="9" t="n">
        <f aca="false">IF(B6&gt;0,B20/B6,0)</f>
        <v>0.528421052631579</v>
      </c>
      <c r="C21" s="9" t="n">
        <f aca="false">IF(C6&gt;0,C20/C6,0)</f>
        <v>0</v>
      </c>
      <c r="D21" s="9" t="n">
        <f aca="false">C21-B21</f>
        <v>-0.528421052631579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0"/>
  </cols>
  <sheetData>
    <row r="1" customFormat="false" ht="19.7" hidden="false" customHeight="false" outlineLevel="0" collapsed="false">
      <c r="A1" s="42" t="s">
        <v>184</v>
      </c>
    </row>
    <row r="2" customFormat="false" ht="15" hidden="false" customHeight="false" outlineLevel="0" collapsed="false">
      <c r="A2" s="43" t="s">
        <v>185</v>
      </c>
    </row>
    <row r="4" customFormat="false" ht="15" hidden="false" customHeight="false" outlineLevel="0" collapsed="false">
      <c r="A4" s="14" t="s">
        <v>186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customFormat="false" ht="15" hidden="false" customHeight="false" outlineLevel="0" collapsed="false">
      <c r="B5" s="44" t="s">
        <v>187</v>
      </c>
      <c r="C5" s="44" t="s">
        <v>188</v>
      </c>
      <c r="D5" s="44" t="s">
        <v>189</v>
      </c>
      <c r="E5" s="44" t="s">
        <v>190</v>
      </c>
      <c r="F5" s="44" t="s">
        <v>191</v>
      </c>
      <c r="G5" s="44" t="s">
        <v>192</v>
      </c>
      <c r="H5" s="44" t="s">
        <v>193</v>
      </c>
      <c r="I5" s="44" t="s">
        <v>194</v>
      </c>
      <c r="J5" s="44" t="s">
        <v>195</v>
      </c>
      <c r="K5" s="44" t="s">
        <v>196</v>
      </c>
      <c r="L5" s="44" t="s">
        <v>197</v>
      </c>
      <c r="M5" s="44" t="s">
        <v>198</v>
      </c>
      <c r="N5" s="45" t="s">
        <v>199</v>
      </c>
    </row>
    <row r="6" customFormat="false" ht="15" hidden="false" customHeight="false" outlineLevel="0" collapsed="false">
      <c r="A6" s="0" t="s">
        <v>200</v>
      </c>
      <c r="B6" s="46" t="n">
        <v>3900</v>
      </c>
      <c r="C6" s="46" t="n">
        <v>2400</v>
      </c>
      <c r="D6" s="46" t="n">
        <v>3900</v>
      </c>
      <c r="E6" s="46" t="n">
        <v>6600</v>
      </c>
      <c r="F6" s="46" t="n">
        <v>6900</v>
      </c>
      <c r="G6" s="46" t="n">
        <v>0</v>
      </c>
      <c r="H6" s="46" t="n">
        <v>55000</v>
      </c>
      <c r="I6" s="46" t="n">
        <v>17100</v>
      </c>
      <c r="J6" s="46" t="n">
        <v>8800</v>
      </c>
      <c r="K6" s="46" t="n">
        <v>2600</v>
      </c>
      <c r="L6" s="46" t="n">
        <v>2300</v>
      </c>
      <c r="M6" s="46" t="n">
        <v>6300</v>
      </c>
      <c r="N6" s="47" t="n">
        <f aca="false">SUM(B6:M6)</f>
        <v>115800</v>
      </c>
    </row>
    <row r="8" customFormat="false" ht="15" hidden="false" customHeight="false" outlineLevel="0" collapsed="false">
      <c r="A8" s="14" t="s">
        <v>201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customFormat="false" ht="15" hidden="false" customHeight="false" outlineLevel="0" collapsed="false">
      <c r="A9" s="0" t="s">
        <v>202</v>
      </c>
      <c r="B9" s="48" t="n">
        <v>5500</v>
      </c>
      <c r="C9" s="0" t="s">
        <v>203</v>
      </c>
    </row>
    <row r="10" customFormat="false" ht="15" hidden="false" customHeight="false" outlineLevel="0" collapsed="false">
      <c r="A10" s="0" t="s">
        <v>204</v>
      </c>
      <c r="B10" s="49" t="n">
        <v>0.7</v>
      </c>
      <c r="C10" s="49" t="n">
        <v>0.4</v>
      </c>
      <c r="D10" s="49" t="n">
        <v>0.7</v>
      </c>
      <c r="E10" s="49" t="n">
        <v>1.2</v>
      </c>
      <c r="F10" s="49" t="n">
        <v>1.25</v>
      </c>
      <c r="G10" s="49" t="n">
        <v>2</v>
      </c>
      <c r="H10" s="49" t="n">
        <v>10</v>
      </c>
      <c r="I10" s="49" t="n">
        <v>3.1</v>
      </c>
      <c r="J10" s="49" t="n">
        <v>1.6</v>
      </c>
      <c r="K10" s="49" t="n">
        <v>0.5</v>
      </c>
      <c r="L10" s="49" t="n">
        <v>0.4</v>
      </c>
      <c r="M10" s="49" t="n">
        <v>1.1</v>
      </c>
    </row>
    <row r="11" customFormat="false" ht="15" hidden="false" customHeight="false" outlineLevel="0" collapsed="false">
      <c r="A11" s="0" t="s">
        <v>205</v>
      </c>
      <c r="B11" s="47" t="n">
        <f aca="false">$B$9*B10</f>
        <v>3850</v>
      </c>
      <c r="C11" s="47" t="n">
        <f aca="false">$B$9*C10</f>
        <v>2200</v>
      </c>
      <c r="D11" s="47" t="n">
        <f aca="false">$B$9*D10</f>
        <v>3850</v>
      </c>
      <c r="E11" s="47" t="n">
        <f aca="false">$B$9*E10</f>
        <v>6600</v>
      </c>
      <c r="F11" s="47" t="n">
        <f aca="false">$B$9*F10</f>
        <v>6875</v>
      </c>
      <c r="G11" s="47" t="n">
        <f aca="false">$B$9*G10</f>
        <v>11000</v>
      </c>
      <c r="H11" s="47" t="n">
        <f aca="false">$B$9*H10</f>
        <v>55000</v>
      </c>
      <c r="I11" s="47" t="n">
        <f aca="false">$B$9*I10</f>
        <v>17050</v>
      </c>
      <c r="J11" s="47" t="n">
        <f aca="false">$B$9*J10</f>
        <v>8800</v>
      </c>
      <c r="K11" s="47" t="n">
        <f aca="false">$B$9*K10</f>
        <v>2750</v>
      </c>
      <c r="L11" s="47" t="n">
        <f aca="false">$B$9*L10</f>
        <v>2200</v>
      </c>
      <c r="M11" s="47" t="n">
        <f aca="false">$B$9*M10</f>
        <v>6050</v>
      </c>
      <c r="N11" s="47" t="n">
        <f aca="false">SUM(B11:M11)</f>
        <v>126225</v>
      </c>
    </row>
    <row r="13" customFormat="false" ht="15" hidden="false" customHeight="false" outlineLevel="0" collapsed="false">
      <c r="A13" s="14" t="s">
        <v>206</v>
      </c>
      <c r="B13" s="15"/>
      <c r="C13" s="15"/>
      <c r="D13" s="15"/>
      <c r="E13" s="15"/>
    </row>
    <row r="15" customFormat="false" ht="15" hidden="false" customHeight="false" outlineLevel="0" collapsed="false">
      <c r="A15" s="0" t="s">
        <v>207</v>
      </c>
      <c r="B15" s="48" t="n">
        <v>89500</v>
      </c>
      <c r="C15" s="0" t="s">
        <v>208</v>
      </c>
    </row>
    <row r="16" customFormat="false" ht="15" hidden="false" customHeight="false" outlineLevel="0" collapsed="false">
      <c r="A16" s="0" t="s">
        <v>209</v>
      </c>
      <c r="B16" s="50" t="n">
        <f aca="false">N11/12</f>
        <v>10518.75</v>
      </c>
    </row>
    <row r="17" customFormat="false" ht="15" hidden="false" customHeight="false" outlineLevel="0" collapsed="false">
      <c r="A17" s="0" t="s">
        <v>210</v>
      </c>
      <c r="B17" s="47" t="n">
        <f aca="false">B15+B16</f>
        <v>100018.75</v>
      </c>
    </row>
    <row r="19" customFormat="false" ht="15" hidden="false" customHeight="false" outlineLevel="0" collapsed="false">
      <c r="A19" s="0" t="s">
        <v>211</v>
      </c>
      <c r="B19" s="51" t="n">
        <f aca="false">B15+H11</f>
        <v>144500</v>
      </c>
    </row>
    <row r="20" customFormat="false" ht="15" hidden="false" customHeight="false" outlineLevel="0" collapsed="false">
      <c r="A20" s="0" t="s">
        <v>212</v>
      </c>
      <c r="B20" s="52" t="n">
        <f aca="false">B15+MIN(B11:M11)</f>
        <v>91700</v>
      </c>
    </row>
    <row r="22" customFormat="false" ht="15" hidden="false" customHeight="false" outlineLevel="0" collapsed="false">
      <c r="A22" s="14" t="s">
        <v>213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customFormat="false" ht="15" hidden="false" customHeight="false" outlineLevel="0" collapsed="false">
      <c r="B23" s="44" t="s">
        <v>187</v>
      </c>
      <c r="C23" s="44" t="s">
        <v>188</v>
      </c>
      <c r="D23" s="44" t="s">
        <v>189</v>
      </c>
      <c r="E23" s="44" t="s">
        <v>190</v>
      </c>
      <c r="F23" s="44" t="s">
        <v>191</v>
      </c>
      <c r="G23" s="44" t="s">
        <v>192</v>
      </c>
      <c r="H23" s="44" t="s">
        <v>193</v>
      </c>
      <c r="I23" s="44" t="s">
        <v>194</v>
      </c>
      <c r="J23" s="44" t="s">
        <v>195</v>
      </c>
      <c r="K23" s="44" t="s">
        <v>196</v>
      </c>
      <c r="L23" s="44" t="s">
        <v>197</v>
      </c>
      <c r="M23" s="44" t="s">
        <v>198</v>
      </c>
      <c r="N23" s="45" t="s">
        <v>199</v>
      </c>
    </row>
    <row r="24" customFormat="false" ht="15" hidden="false" customHeight="false" outlineLevel="0" collapsed="false">
      <c r="A24" s="0" t="s">
        <v>214</v>
      </c>
      <c r="B24" s="46" t="n">
        <v>49000</v>
      </c>
      <c r="C24" s="46" t="n">
        <v>49000</v>
      </c>
      <c r="D24" s="46" t="n">
        <v>49000</v>
      </c>
      <c r="E24" s="46" t="n">
        <v>49000</v>
      </c>
      <c r="F24" s="46" t="n">
        <v>49000</v>
      </c>
      <c r="G24" s="46" t="n">
        <v>49000</v>
      </c>
      <c r="H24" s="46" t="n">
        <v>49000</v>
      </c>
      <c r="I24" s="46" t="n">
        <v>49000</v>
      </c>
      <c r="J24" s="46" t="n">
        <v>49000</v>
      </c>
      <c r="K24" s="46" t="n">
        <v>49000</v>
      </c>
      <c r="L24" s="46" t="n">
        <v>49000</v>
      </c>
      <c r="M24" s="46" t="n">
        <v>49000</v>
      </c>
      <c r="N24" s="50" t="n">
        <f aca="false">SUM(B24:M24)</f>
        <v>588000</v>
      </c>
    </row>
    <row r="25" customFormat="false" ht="15" hidden="false" customHeight="false" outlineLevel="0" collapsed="false">
      <c r="A25" s="0" t="s">
        <v>215</v>
      </c>
      <c r="B25" s="46" t="n">
        <v>14000</v>
      </c>
      <c r="C25" s="46" t="n">
        <v>14000</v>
      </c>
      <c r="D25" s="46" t="n">
        <v>14000</v>
      </c>
      <c r="E25" s="46" t="n">
        <v>14000</v>
      </c>
      <c r="F25" s="46" t="n">
        <v>14000</v>
      </c>
      <c r="G25" s="46" t="n">
        <v>14000</v>
      </c>
      <c r="H25" s="46" t="n">
        <v>14000</v>
      </c>
      <c r="I25" s="46" t="n">
        <v>14000</v>
      </c>
      <c r="J25" s="46" t="n">
        <v>14000</v>
      </c>
      <c r="K25" s="46" t="n">
        <v>14000</v>
      </c>
      <c r="L25" s="46" t="n">
        <v>14000</v>
      </c>
      <c r="M25" s="46" t="n">
        <v>14000</v>
      </c>
      <c r="N25" s="50" t="n">
        <f aca="false">SUM(B25:M25)</f>
        <v>168000</v>
      </c>
    </row>
    <row r="26" customFormat="false" ht="15" hidden="false" customHeight="false" outlineLevel="0" collapsed="false">
      <c r="A26" s="0" t="s">
        <v>216</v>
      </c>
      <c r="B26" s="46" t="n">
        <v>10000</v>
      </c>
      <c r="C26" s="46" t="n">
        <v>10000</v>
      </c>
      <c r="D26" s="46" t="n">
        <v>10000</v>
      </c>
      <c r="E26" s="46" t="n">
        <v>10000</v>
      </c>
      <c r="F26" s="46" t="n">
        <v>10000</v>
      </c>
      <c r="G26" s="46" t="n">
        <v>10000</v>
      </c>
      <c r="H26" s="46" t="n">
        <v>10000</v>
      </c>
      <c r="I26" s="46" t="n">
        <v>10000</v>
      </c>
      <c r="J26" s="46" t="n">
        <v>10000</v>
      </c>
      <c r="K26" s="46" t="n">
        <v>10000</v>
      </c>
      <c r="L26" s="46" t="n">
        <v>10000</v>
      </c>
      <c r="M26" s="46" t="n">
        <v>10000</v>
      </c>
      <c r="N26" s="50" t="n">
        <f aca="false">SUM(B26:M26)</f>
        <v>120000</v>
      </c>
    </row>
    <row r="27" customFormat="false" ht="15" hidden="false" customHeight="false" outlineLevel="0" collapsed="false">
      <c r="A27" s="0" t="s">
        <v>217</v>
      </c>
      <c r="B27" s="46" t="n">
        <v>9000</v>
      </c>
      <c r="C27" s="46" t="n">
        <v>9000</v>
      </c>
      <c r="D27" s="46" t="n">
        <v>9000</v>
      </c>
      <c r="E27" s="46" t="n">
        <v>9000</v>
      </c>
      <c r="F27" s="46" t="n">
        <v>9000</v>
      </c>
      <c r="G27" s="46" t="n">
        <v>9000</v>
      </c>
      <c r="H27" s="46" t="n">
        <v>9000</v>
      </c>
      <c r="I27" s="46" t="n">
        <v>9000</v>
      </c>
      <c r="J27" s="46" t="n">
        <v>9000</v>
      </c>
      <c r="K27" s="46" t="n">
        <v>9000</v>
      </c>
      <c r="L27" s="46" t="n">
        <v>9000</v>
      </c>
      <c r="M27" s="46" t="n">
        <v>9000</v>
      </c>
      <c r="N27" s="50" t="n">
        <f aca="false">SUM(B27:M27)</f>
        <v>108000</v>
      </c>
    </row>
    <row r="28" customFormat="false" ht="15" hidden="false" customHeight="false" outlineLevel="0" collapsed="false">
      <c r="A28" s="0" t="s">
        <v>218</v>
      </c>
      <c r="B28" s="46" t="n">
        <v>6000</v>
      </c>
      <c r="C28" s="46" t="n">
        <v>6000</v>
      </c>
      <c r="D28" s="46" t="n">
        <v>6000</v>
      </c>
      <c r="E28" s="46" t="n">
        <v>6000</v>
      </c>
      <c r="F28" s="46" t="n">
        <v>6000</v>
      </c>
      <c r="G28" s="46" t="n">
        <v>6000</v>
      </c>
      <c r="H28" s="46" t="n">
        <v>6000</v>
      </c>
      <c r="I28" s="46" t="n">
        <v>6000</v>
      </c>
      <c r="J28" s="46" t="n">
        <v>6000</v>
      </c>
      <c r="K28" s="46" t="n">
        <v>6000</v>
      </c>
      <c r="L28" s="46" t="n">
        <v>6000</v>
      </c>
      <c r="M28" s="46" t="n">
        <v>6000</v>
      </c>
      <c r="N28" s="50" t="n">
        <f aca="false">SUM(B28:M28)</f>
        <v>72000</v>
      </c>
    </row>
    <row r="29" customFormat="false" ht="15" hidden="false" customHeight="false" outlineLevel="0" collapsed="false">
      <c r="A29" s="0" t="s">
        <v>219</v>
      </c>
      <c r="B29" s="16" t="n">
        <f aca="false">B11</f>
        <v>3850</v>
      </c>
      <c r="C29" s="16" t="n">
        <f aca="false">C11</f>
        <v>2200</v>
      </c>
      <c r="D29" s="16" t="n">
        <f aca="false">D11</f>
        <v>3850</v>
      </c>
      <c r="E29" s="16" t="n">
        <f aca="false">E11</f>
        <v>6600</v>
      </c>
      <c r="F29" s="16" t="n">
        <f aca="false">F11</f>
        <v>6875</v>
      </c>
      <c r="G29" s="16" t="n">
        <f aca="false">G11</f>
        <v>11000</v>
      </c>
      <c r="H29" s="16" t="n">
        <f aca="false">H11</f>
        <v>55000</v>
      </c>
      <c r="I29" s="16" t="n">
        <f aca="false">I11</f>
        <v>17050</v>
      </c>
      <c r="J29" s="16" t="n">
        <f aca="false">J11</f>
        <v>8800</v>
      </c>
      <c r="K29" s="16" t="n">
        <f aca="false">K11</f>
        <v>2750</v>
      </c>
      <c r="L29" s="16" t="n">
        <f aca="false">L11</f>
        <v>2200</v>
      </c>
      <c r="M29" s="16" t="n">
        <f aca="false">M11</f>
        <v>6050</v>
      </c>
      <c r="N29" s="50" t="n">
        <f aca="false">SUM(B29:M29)</f>
        <v>126225</v>
      </c>
    </row>
    <row r="30" customFormat="false" ht="15" hidden="false" customHeight="false" outlineLevel="0" collapsed="false">
      <c r="A30" s="0" t="s">
        <v>220</v>
      </c>
      <c r="B30" s="46" t="n">
        <v>1500</v>
      </c>
      <c r="C30" s="46" t="n">
        <v>1500</v>
      </c>
      <c r="D30" s="46" t="n">
        <v>1500</v>
      </c>
      <c r="E30" s="46" t="n">
        <v>1500</v>
      </c>
      <c r="F30" s="46" t="n">
        <v>1500</v>
      </c>
      <c r="G30" s="46" t="n">
        <v>1500</v>
      </c>
      <c r="H30" s="46" t="n">
        <v>1500</v>
      </c>
      <c r="I30" s="46" t="n">
        <v>1500</v>
      </c>
      <c r="J30" s="46" t="n">
        <v>1500</v>
      </c>
      <c r="K30" s="46" t="n">
        <v>1500</v>
      </c>
      <c r="L30" s="46" t="n">
        <v>1500</v>
      </c>
      <c r="M30" s="46" t="n">
        <v>1500</v>
      </c>
      <c r="N30" s="50" t="n">
        <f aca="false">SUM(B30:M30)</f>
        <v>18000</v>
      </c>
    </row>
    <row r="31" customFormat="false" ht="15" hidden="false" customHeight="false" outlineLevel="0" collapsed="false">
      <c r="A31" s="45" t="s">
        <v>221</v>
      </c>
      <c r="B31" s="53" t="n">
        <f aca="false">SUM(B24:B30)</f>
        <v>93350</v>
      </c>
      <c r="C31" s="53" t="n">
        <f aca="false">SUM(C24:C30)</f>
        <v>91700</v>
      </c>
      <c r="D31" s="53" t="n">
        <f aca="false">SUM(D24:D30)</f>
        <v>93350</v>
      </c>
      <c r="E31" s="53" t="n">
        <f aca="false">SUM(E24:E30)</f>
        <v>96100</v>
      </c>
      <c r="F31" s="53" t="n">
        <f aca="false">SUM(F24:F30)</f>
        <v>96375</v>
      </c>
      <c r="G31" s="53" t="n">
        <f aca="false">SUM(G24:G30)</f>
        <v>100500</v>
      </c>
      <c r="H31" s="53" t="n">
        <f aca="false">SUM(H24:H30)</f>
        <v>144500</v>
      </c>
      <c r="I31" s="53" t="n">
        <f aca="false">SUM(I24:I30)</f>
        <v>106550</v>
      </c>
      <c r="J31" s="53" t="n">
        <f aca="false">SUM(J24:J30)</f>
        <v>98300</v>
      </c>
      <c r="K31" s="53" t="n">
        <f aca="false">SUM(K24:K30)</f>
        <v>92250</v>
      </c>
      <c r="L31" s="53" t="n">
        <f aca="false">SUM(L24:L30)</f>
        <v>91700</v>
      </c>
      <c r="M31" s="53" t="n">
        <f aca="false">SUM(M24:M30)</f>
        <v>95550</v>
      </c>
      <c r="N31" s="47" t="n">
        <f aca="false">SUM(B31:M31)</f>
        <v>1200225</v>
      </c>
    </row>
    <row r="33" customFormat="false" ht="15" hidden="false" customHeight="false" outlineLevel="0" collapsed="false">
      <c r="A33" s="54" t="s">
        <v>222</v>
      </c>
      <c r="B33" s="48" t="n">
        <v>0</v>
      </c>
      <c r="C33" s="48" t="n">
        <f aca="false">Assumptions!B8</f>
        <v>25000</v>
      </c>
      <c r="D33" s="48" t="n">
        <f aca="false">Assumptions!B8</f>
        <v>25000</v>
      </c>
      <c r="E33" s="48" t="n">
        <f aca="false">Assumptions!B8</f>
        <v>25000</v>
      </c>
      <c r="F33" s="48" t="n">
        <f aca="false">Assumptions!B8</f>
        <v>25000</v>
      </c>
      <c r="G33" s="48" t="n">
        <f aca="false">Assumptions!B8</f>
        <v>25000</v>
      </c>
      <c r="H33" s="48" t="n">
        <f aca="false">Assumptions!B8</f>
        <v>25000</v>
      </c>
      <c r="I33" s="48" t="n">
        <f aca="false">Assumptions!B8</f>
        <v>25000</v>
      </c>
      <c r="J33" s="48" t="n">
        <f aca="false">Assumptions!B8</f>
        <v>25000</v>
      </c>
      <c r="K33" s="48" t="n">
        <f aca="false">Assumptions!B8</f>
        <v>25000</v>
      </c>
      <c r="L33" s="48" t="n">
        <f aca="false">Assumptions!B8</f>
        <v>25000</v>
      </c>
      <c r="M33" s="48" t="n">
        <f aca="false">Assumptions!B8</f>
        <v>25000</v>
      </c>
    </row>
    <row r="34" customFormat="false" ht="15" hidden="false" customHeight="false" outlineLevel="0" collapsed="false">
      <c r="A34" s="45" t="s">
        <v>223</v>
      </c>
      <c r="B34" s="55" t="n">
        <f aca="false">B31+B33</f>
        <v>93350</v>
      </c>
      <c r="C34" s="55" t="n">
        <f aca="false">C31+C33</f>
        <v>116700</v>
      </c>
      <c r="D34" s="55" t="n">
        <f aca="false">D31+D33</f>
        <v>118350</v>
      </c>
      <c r="E34" s="55" t="n">
        <f aca="false">E31+E33</f>
        <v>121100</v>
      </c>
      <c r="F34" s="55" t="n">
        <f aca="false">F31+F33</f>
        <v>121375</v>
      </c>
      <c r="G34" s="55" t="n">
        <f aca="false">G31+G33</f>
        <v>125500</v>
      </c>
      <c r="H34" s="55" t="n">
        <f aca="false">H31+H33</f>
        <v>169500</v>
      </c>
      <c r="I34" s="55" t="n">
        <f aca="false">I31+I33</f>
        <v>131550</v>
      </c>
      <c r="J34" s="55" t="n">
        <f aca="false">J31+J33</f>
        <v>123300</v>
      </c>
      <c r="K34" s="55" t="n">
        <f aca="false">K31+K33</f>
        <v>117250</v>
      </c>
      <c r="L34" s="55" t="n">
        <f aca="false">L31+L33</f>
        <v>116700</v>
      </c>
      <c r="M34" s="55" t="n">
        <f aca="false">M31+M33</f>
        <v>120550</v>
      </c>
      <c r="N34" s="47" t="n">
        <f aca="false">SUM(B34:M34)</f>
        <v>1475225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2026-01-30T22:49:36Z</dcterms:created>
  <dc:creator>openpyxl</dc:creator>
  <dc:description/>
  <dc:language>en-US</dc:language>
  <cp:lastModifiedBy/>
  <dcterms:modified xsi:type="dcterms:W3CDTF">2026-01-30T22:56:35Z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