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Ad Spend Input" sheetId="2" state="visible" r:id="rId4"/>
    <sheet name="Revenue Projection" sheetId="3" state="visible" r:id="rId5"/>
    <sheet name="Monthly Costs" sheetId="4" state="visible" r:id="rId6"/>
    <sheet name="Cashflow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<sst xmlns="http://schemas.openxmlformats.org/spreadsheetml/2006/main" count="142" uniqueCount="69">
  <si>
    <t xml:space="preserve">MVR DIGITAL 2026 - ASSUMPTIONS &amp; INPUTS</t>
  </si>
  <si>
    <t xml:space="preserve">CLIENT REVENUE ASSUMPTIONS</t>
  </si>
  <si>
    <t xml:space="preserve">Client</t>
  </si>
  <si>
    <t xml:space="preserve">Base Retainer</t>
  </si>
  <si>
    <t xml:space="preserve">% of Ad Spend</t>
  </si>
  <si>
    <t xml:space="preserve">Creative Hrs/Mo</t>
  </si>
  <si>
    <t xml:space="preserve">Creative Rate</t>
  </si>
  <si>
    <t xml:space="preserve">Email Fee/Mo</t>
  </si>
  <si>
    <t xml:space="preserve">Notes</t>
  </si>
  <si>
    <t xml:space="preserve">Peddle</t>
  </si>
  <si>
    <t xml:space="preserve">Creative hours billable at $130/hr</t>
  </si>
  <si>
    <t xml:space="preserve">Alo</t>
  </si>
  <si>
    <t xml:space="preserve">Creative services only</t>
  </si>
  <si>
    <t xml:space="preserve">Sunflow</t>
  </si>
  <si>
    <t xml:space="preserve">+$450 Blotout</t>
  </si>
  <si>
    <t xml:space="preserve">Kaspar &amp; Lugay</t>
  </si>
  <si>
    <t xml:space="preserve">5 creative hrs included</t>
  </si>
  <si>
    <t xml:space="preserve">Wrensilva</t>
  </si>
  <si>
    <t xml:space="preserve">$2K email + 20 creative hrs included</t>
  </si>
  <si>
    <t xml:space="preserve">Sonsie</t>
  </si>
  <si>
    <t xml:space="preserve">Email included, 15 creative hrs included</t>
  </si>
  <si>
    <t xml:space="preserve">MONTHLY COST ASSUMPTIONS</t>
  </si>
  <si>
    <t xml:space="preserve">Category</t>
  </si>
  <si>
    <t xml:space="preserve">Monthly Amount</t>
  </si>
  <si>
    <t xml:space="preserve">Salaries &amp; Wages</t>
  </si>
  <si>
    <t xml:space="preserve">Based on 2025 avg</t>
  </si>
  <si>
    <t xml:space="preserve">Employer Taxes</t>
  </si>
  <si>
    <t xml:space="preserve">Employee Benefits</t>
  </si>
  <si>
    <t xml:space="preserve">Contract Labor</t>
  </si>
  <si>
    <t xml:space="preserve">Software &amp; Apps</t>
  </si>
  <si>
    <t xml:space="preserve">Insurance</t>
  </si>
  <si>
    <t xml:space="preserve">Consulting/Accounting</t>
  </si>
  <si>
    <t xml:space="preserve">Travel</t>
  </si>
  <si>
    <t xml:space="preserve">Advertising/Marketing</t>
  </si>
  <si>
    <t xml:space="preserve">Other (office, meals, fees)</t>
  </si>
  <si>
    <t xml:space="preserve">Misc expenses</t>
  </si>
  <si>
    <t xml:space="preserve">MONTHLY AD SPEND BY CLIENT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</si>
  <si>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</si>
  <si>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</si>
  <si>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</si>
  <si>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</si>
  <si>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</si>
  <si>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</si>
  <si>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</si>
  <si>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</si>
  <si>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</si>
  <si>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</si>
  <si>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</si>
  <si>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</si>
  <si>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</si>
  <si>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TOTAL AD SPEND</t>
  </si>
  <si>
    <t xml:space="preserve">MONTHLY REVENUE PROJECTION</t>
  </si>
  <si>
    <t xml:space="preserve">TOTAL REVENUE</t>
  </si>
  <si>
    <t xml:space="preserve">MONTHLY COST BREAKDOWN</t>
  </si>
  <si>
    <t xml:space="preserve">TOTAL COSTS</t>
  </si>
  <si>
    <t xml:space="preserve">MONTHLY CASHFLOW SUMMARY</t>
  </si>
  <si>
    <t xml:space="preserve">Item</t>
  </si>
  <si>
    <t xml:space="preserve">Total Revenue</t>
  </si>
  <si>
    <t xml:space="preserve">Total Costs</t>
  </si>
  <si>
    <t xml:space="preserve">NET CASHFLOW</t>
  </si>
  <si>
    <t xml:space="preserve">Cumulative</t>
  </si>
  <si>
    <t xml:space="preserve">ANNUAL SUMMARY</t>
  </si>
  <si>
    <t xml:space="preserve">Total Annual Revenue</t>
  </si>
  <si>
    <t xml:space="preserve">Total Annual Costs</t>
  </si>
  <si>
    <t xml:space="preserve">Annual Net Income</t>
  </si>
  <si>
    <t xml:space="preserve">Profit Margin</t>
  </si>
  <si>
    <t xml:space="preserve">Monthly Avg Revenue</t>
  </si>
  <si>
    <t xml:space="preserve">Monthly Avg Costs</t>
  </si>
  <si>
    <t xml:space="preserve">Monthly Avg Net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</si>
</sst>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\$#,##0"/>
    <numFmt numFmtId="168" formatCode="\$#,##0;&quot;($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6" min="3" style="1" width="14"/>
    <col collapsed="false" customWidth="true" hidden="false" outlineLevel="0" max="7" min="7" style="1" width="3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1" t="s">
        <v>9</v>
      </c>
      <c r="B5" s="5" t="n">
        <v>0</v>
      </c>
      <c r="C5" s="6" t="n">
        <v>0.055</v>
      </c>
      <c r="D5" s="7" t="n">
        <v>80</v>
      </c>
      <c r="E5" s="5" t="n">
        <v>130</v>
      </c>
      <c r="F5" s="5" t="n">
        <v>0</v>
      </c>
      <c r="G5" s="1" t="s">
        <v>10</v>
      </c>
    </row>
    <row r="6" customFormat="false" ht="15" hidden="false" customHeight="true" outlineLevel="0" collapsed="false">
      <c r="A6" s="1" t="s">
        <v>11</v>
      </c>
      <c r="B6" s="5" t="n">
        <v>0</v>
      </c>
      <c r="C6" s="6" t="n">
        <v>0</v>
      </c>
      <c r="D6" s="7" t="n">
        <v>20</v>
      </c>
      <c r="E6" s="5" t="n">
        <v>250</v>
      </c>
      <c r="F6" s="5" t="n">
        <v>0</v>
      </c>
      <c r="G6" s="1" t="s">
        <v>12</v>
      </c>
    </row>
    <row r="7" customFormat="false" ht="15" hidden="false" customHeight="true" outlineLevel="0" collapsed="false">
      <c r="A7" s="1" t="s">
        <v>13</v>
      </c>
      <c r="B7" s="5" t="n">
        <v>0</v>
      </c>
      <c r="C7" s="6" t="n">
        <v>0.07</v>
      </c>
      <c r="D7" s="7" t="n">
        <v>0</v>
      </c>
      <c r="E7" s="5" t="n">
        <v>0</v>
      </c>
      <c r="F7" s="5" t="n">
        <v>0</v>
      </c>
      <c r="G7" s="1" t="s">
        <v>14</v>
      </c>
    </row>
    <row r="8" customFormat="false" ht="15" hidden="false" customHeight="true" outlineLevel="0" collapsed="false">
      <c r="A8" s="1" t="s">
        <v>15</v>
      </c>
      <c r="B8" s="5" t="n">
        <v>1000</v>
      </c>
      <c r="C8" s="6" t="n">
        <v>0.05</v>
      </c>
      <c r="D8" s="7" t="n">
        <v>0</v>
      </c>
      <c r="E8" s="5" t="n">
        <v>0</v>
      </c>
      <c r="F8" s="5" t="n">
        <v>0</v>
      </c>
      <c r="G8" s="1" t="s">
        <v>16</v>
      </c>
    </row>
    <row r="9" customFormat="false" ht="15" hidden="false" customHeight="true" outlineLevel="0" collapsed="false">
      <c r="A9" s="1" t="s">
        <v>17</v>
      </c>
      <c r="B9" s="5" t="n">
        <v>4000</v>
      </c>
      <c r="C9" s="6" t="n">
        <v>0.07</v>
      </c>
      <c r="D9" s="7" t="n">
        <v>0</v>
      </c>
      <c r="E9" s="5" t="n">
        <v>0</v>
      </c>
      <c r="F9" s="5" t="n">
        <v>2000</v>
      </c>
      <c r="G9" s="1" t="s">
        <v>18</v>
      </c>
    </row>
    <row r="10" customFormat="false" ht="15" hidden="false" customHeight="true" outlineLevel="0" collapsed="false">
      <c r="A10" s="1" t="s">
        <v>19</v>
      </c>
      <c r="B10" s="5" t="n">
        <v>4000</v>
      </c>
      <c r="C10" s="6" t="n">
        <v>0.07</v>
      </c>
      <c r="D10" s="7" t="n">
        <v>0</v>
      </c>
      <c r="E10" s="5" t="n">
        <v>0</v>
      </c>
      <c r="F10" s="5" t="n">
        <v>0</v>
      </c>
      <c r="G10" s="1" t="s">
        <v>20</v>
      </c>
    </row>
    <row r="13" customFormat="false" ht="15" hidden="false" customHeight="true" outlineLevel="0" collapsed="false">
      <c r="A13" s="3" t="s">
        <v>21</v>
      </c>
    </row>
    <row r="14" customFormat="false" ht="15" hidden="false" customHeight="true" outlineLevel="0" collapsed="false">
      <c r="A14" s="3" t="s">
        <v>22</v>
      </c>
      <c r="B14" s="3" t="s">
        <v>23</v>
      </c>
      <c r="C14" s="3" t="s">
        <v>8</v>
      </c>
    </row>
    <row r="15" customFormat="false" ht="15" hidden="false" customHeight="true" outlineLevel="0" collapsed="false">
      <c r="A15" s="1" t="s">
        <v>24</v>
      </c>
      <c r="B15" s="8" t="n">
        <v>20615</v>
      </c>
      <c r="C15" s="1" t="s">
        <v>25</v>
      </c>
    </row>
    <row r="16" customFormat="false" ht="15" hidden="false" customHeight="true" outlineLevel="0" collapsed="false">
      <c r="A16" s="1" t="s">
        <v>26</v>
      </c>
      <c r="B16" s="8" t="n">
        <v>1674</v>
      </c>
      <c r="C16" s="1" t="s">
        <v>25</v>
      </c>
    </row>
    <row r="17" customFormat="false" ht="15" hidden="false" customHeight="true" outlineLevel="0" collapsed="false">
      <c r="A17" s="1" t="s">
        <v>27</v>
      </c>
      <c r="B17" s="8" t="n">
        <v>1575</v>
      </c>
      <c r="C17" s="1" t="s">
        <v>25</v>
      </c>
    </row>
    <row r="18" customFormat="false" ht="15" hidden="false" customHeight="true" outlineLevel="0" collapsed="false">
      <c r="A18" s="1" t="s">
        <v>28</v>
      </c>
      <c r="B18" s="8" t="n">
        <v>35839</v>
      </c>
      <c r="C18" s="1" t="s">
        <v>25</v>
      </c>
    </row>
    <row r="19" customFormat="false" ht="15" hidden="false" customHeight="true" outlineLevel="0" collapsed="false">
      <c r="A19" s="1" t="s">
        <v>29</v>
      </c>
      <c r="B19" s="8" t="n">
        <v>4829</v>
      </c>
      <c r="C19" s="1" t="s">
        <v>25</v>
      </c>
    </row>
    <row r="20" customFormat="false" ht="15" hidden="false" customHeight="true" outlineLevel="0" collapsed="false">
      <c r="A20" s="1" t="s">
        <v>30</v>
      </c>
      <c r="B20" s="8" t="n">
        <v>2962</v>
      </c>
      <c r="C20" s="1" t="s">
        <v>25</v>
      </c>
    </row>
    <row r="21" customFormat="false" ht="15" hidden="false" customHeight="true" outlineLevel="0" collapsed="false">
      <c r="A21" s="1" t="s">
        <v>31</v>
      </c>
      <c r="B21" s="8" t="n">
        <v>2000</v>
      </c>
      <c r="C21" s="1" t="s">
        <v>25</v>
      </c>
    </row>
    <row r="22" customFormat="false" ht="15" hidden="false" customHeight="true" outlineLevel="0" collapsed="false">
      <c r="A22" s="1" t="s">
        <v>32</v>
      </c>
      <c r="B22" s="8" t="n">
        <v>1526</v>
      </c>
      <c r="C22" s="1" t="s">
        <v>25</v>
      </c>
    </row>
    <row r="23" customFormat="false" ht="15" hidden="false" customHeight="true" outlineLevel="0" collapsed="false">
      <c r="A23" s="1" t="s">
        <v>33</v>
      </c>
      <c r="B23" s="8" t="n">
        <v>1088</v>
      </c>
      <c r="C23" s="1" t="s">
        <v>25</v>
      </c>
    </row>
    <row r="24" customFormat="false" ht="15" hidden="false" customHeight="true" outlineLevel="0" collapsed="false">
      <c r="A24" s="1" t="s">
        <v>34</v>
      </c>
      <c r="B24" s="8" t="n">
        <v>1500</v>
      </c>
      <c r="C24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14" min="2" style="1" width="11"/>
  </cols>
  <sheetData>
    <row r="1" customFormat="false" ht="17.25" hidden="false" customHeight="true" outlineLevel="0" collapsed="false">
      <c r="A1" s="2" t="s">
        <v>36</v>
      </c>
    </row>
    <row r="3" customFormat="false" ht="15" hidden="false" customHeight="true" outlineLevel="0" collapsed="false">
      <c r="A3" s="1" t="s">
        <v>2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</row>
    <row r="4" customFormat="false" ht="15" hidden="false" customHeight="true" outlineLevel="0" collapsed="false">
      <c r="A4" s="1" t="s">
        <v>9</v>
      </c>
      <c r="B4" s="5" t="n">
        <v>700000</v>
      </c>
      <c r="C4" s="5" t="n">
        <v>720000</v>
      </c>
      <c r="D4" s="5" t="n">
        <v>750000</v>
      </c>
      <c r="E4" s="5" t="n">
        <v>780000</v>
      </c>
      <c r="F4" s="5" t="n">
        <v>800000</v>
      </c>
      <c r="G4" s="5" t="n">
        <v>850000</v>
      </c>
      <c r="H4" s="5" t="n">
        <v>900000</v>
      </c>
      <c r="I4" s="5" t="n">
        <v>950000</v>
      </c>
      <c r="J4" s="5" t="n">
        <v>900000</v>
      </c>
      <c r="K4" s="5" t="n">
        <v>850000</v>
      </c>
      <c r="L4" s="5" t="n">
        <v>900000</v>
      </c>
      <c r="M4" s="5" t="n">
        <v>950000</v>
      </c>
      <c r="N4" s="9" t="n">
        <f aca="false">SUM(B4:M4)</f>
        <v>10050000</v>
      </c>
    </row>
    <row r="5" customFormat="false" ht="15" hidden="false" customHeight="true" outlineLevel="0" collapsed="false">
      <c r="A5" s="1" t="s">
        <v>11</v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9" t="n">
        <f aca="false">SUM(B5:M5)</f>
        <v>0</v>
      </c>
    </row>
    <row r="6" customFormat="false" ht="15" hidden="false" customHeight="true" outlineLevel="0" collapsed="false">
      <c r="A6" s="1" t="s">
        <v>13</v>
      </c>
      <c r="B6" s="5" t="n">
        <v>20000</v>
      </c>
      <c r="C6" s="5" t="n">
        <v>25000</v>
      </c>
      <c r="D6" s="5" t="n">
        <v>40000</v>
      </c>
      <c r="E6" s="5" t="n">
        <v>60000</v>
      </c>
      <c r="F6" s="5" t="n">
        <v>80000</v>
      </c>
      <c r="G6" s="5" t="n">
        <v>100000</v>
      </c>
      <c r="H6" s="5" t="n">
        <v>120000</v>
      </c>
      <c r="I6" s="5" t="n">
        <v>100000</v>
      </c>
      <c r="J6" s="5" t="n">
        <v>60000</v>
      </c>
      <c r="K6" s="5" t="n">
        <v>30000</v>
      </c>
      <c r="L6" s="5" t="n">
        <v>40000</v>
      </c>
      <c r="M6" s="5" t="n">
        <v>80000</v>
      </c>
      <c r="N6" s="9" t="n">
        <f aca="false">SUM(B6:M6)</f>
        <v>755000</v>
      </c>
    </row>
    <row r="7" customFormat="false" ht="15" hidden="false" customHeight="true" outlineLevel="0" collapsed="false">
      <c r="A7" s="1" t="s">
        <v>15</v>
      </c>
      <c r="B7" s="5" t="n">
        <v>80000</v>
      </c>
      <c r="C7" s="5" t="n">
        <v>85000</v>
      </c>
      <c r="D7" s="5" t="n">
        <v>90000</v>
      </c>
      <c r="E7" s="5" t="n">
        <v>95000</v>
      </c>
      <c r="F7" s="5" t="n">
        <v>100000</v>
      </c>
      <c r="G7" s="5" t="n">
        <v>100000</v>
      </c>
      <c r="H7" s="5" t="n">
        <v>100000</v>
      </c>
      <c r="I7" s="5" t="n">
        <v>100000</v>
      </c>
      <c r="J7" s="5" t="n">
        <v>100000</v>
      </c>
      <c r="K7" s="5" t="n">
        <v>95000</v>
      </c>
      <c r="L7" s="5" t="n">
        <v>100000</v>
      </c>
      <c r="M7" s="5" t="n">
        <v>105000</v>
      </c>
      <c r="N7" s="9" t="n">
        <f aca="false">SUM(B7:M7)</f>
        <v>1150000</v>
      </c>
    </row>
    <row r="8" customFormat="false" ht="15" hidden="false" customHeight="true" outlineLevel="0" collapsed="false">
      <c r="A8" s="1" t="s">
        <v>17</v>
      </c>
      <c r="B8" s="5" t="n">
        <v>40000</v>
      </c>
      <c r="C8" s="5" t="n">
        <v>45000</v>
      </c>
      <c r="D8" s="5" t="n">
        <v>50000</v>
      </c>
      <c r="E8" s="5" t="n">
        <v>55000</v>
      </c>
      <c r="F8" s="5" t="n">
        <v>60000</v>
      </c>
      <c r="G8" s="5" t="n">
        <v>70000</v>
      </c>
      <c r="H8" s="5" t="n">
        <v>80000</v>
      </c>
      <c r="I8" s="5" t="n">
        <v>90000</v>
      </c>
      <c r="J8" s="5" t="n">
        <v>100000</v>
      </c>
      <c r="K8" s="5" t="n">
        <v>120000</v>
      </c>
      <c r="L8" s="5" t="n">
        <v>130000</v>
      </c>
      <c r="M8" s="5" t="n">
        <v>150000</v>
      </c>
      <c r="N8" s="9" t="n">
        <f aca="false">SUM(B8:M8)</f>
        <v>990000</v>
      </c>
    </row>
    <row r="9" customFormat="false" ht="15" hidden="false" customHeight="true" outlineLevel="0" collapsed="false">
      <c r="A9" s="1" t="s">
        <v>19</v>
      </c>
      <c r="B9" s="5" t="n">
        <v>30000</v>
      </c>
      <c r="C9" s="5" t="n">
        <v>35000</v>
      </c>
      <c r="D9" s="5" t="n">
        <v>40000</v>
      </c>
      <c r="E9" s="5" t="n">
        <v>45000</v>
      </c>
      <c r="F9" s="5" t="n">
        <v>50000</v>
      </c>
      <c r="G9" s="5" t="n">
        <v>60000</v>
      </c>
      <c r="H9" s="5" t="n">
        <v>80000</v>
      </c>
      <c r="I9" s="5" t="n">
        <v>70000</v>
      </c>
      <c r="J9" s="5" t="n">
        <v>60000</v>
      </c>
      <c r="K9" s="5" t="n">
        <v>70000</v>
      </c>
      <c r="L9" s="5" t="n">
        <v>80000</v>
      </c>
      <c r="M9" s="5" t="n">
        <v>100000</v>
      </c>
      <c r="N9" s="9" t="n">
        <f aca="false">SUM(B9:M9)</f>
        <v>720000</v>
      </c>
    </row>
    <row r="10" customFormat="false" ht="15" hidden="false" customHeight="true" outlineLevel="0" collapsed="false">
      <c r="A10" s="3" t="s">
        <v>50</v>
      </c>
      <c r="B10" s="10" t="n">
        <f aca="false">SUM(B4:B9)</f>
        <v>870000</v>
      </c>
      <c r="C10" s="10" t="n">
        <f aca="false">SUM(C4:C9)</f>
        <v>910000</v>
      </c>
      <c r="D10" s="10" t="n">
        <f aca="false">SUM(D4:D9)</f>
        <v>970000</v>
      </c>
      <c r="E10" s="10" t="n">
        <f aca="false">SUM(E4:E9)</f>
        <v>1035000</v>
      </c>
      <c r="F10" s="10" t="n">
        <f aca="false">SUM(F4:F9)</f>
        <v>1090000</v>
      </c>
      <c r="G10" s="10" t="n">
        <f aca="false">SUM(G4:G9)</f>
        <v>1180000</v>
      </c>
      <c r="H10" s="10" t="n">
        <f aca="false">SUM(H4:H9)</f>
        <v>1280000</v>
      </c>
      <c r="I10" s="10" t="n">
        <f aca="false">SUM(I4:I9)</f>
        <v>1310000</v>
      </c>
      <c r="J10" s="10" t="n">
        <f aca="false">SUM(J4:J9)</f>
        <v>1220000</v>
      </c>
      <c r="K10" s="10" t="n">
        <f aca="false">SUM(K4:K9)</f>
        <v>1165000</v>
      </c>
      <c r="L10" s="10" t="n">
        <f aca="false">SUM(L4:L9)</f>
        <v>1250000</v>
      </c>
      <c r="M10" s="10" t="n">
        <f aca="false">SUM(M4:M9)</f>
        <v>1385000</v>
      </c>
      <c r="N10" s="10" t="n">
        <f aca="false">SUM(N4:N9)</f>
        <v>13665000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14" min="2" style="1" width="11"/>
  </cols>
  <sheetData>
    <row r="1" customFormat="false" ht="17.25" hidden="false" customHeight="true" outlineLevel="0" collapsed="false">
      <c r="A1" s="2" t="s">
        <v>51</v>
      </c>
    </row>
    <row r="3" customFormat="false" ht="15" hidden="false" customHeight="true" outlineLevel="0" collapsed="false">
      <c r="A3" s="1" t="s">
        <v>2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</row>
    <row r="4" customFormat="false" ht="15" hidden="false" customHeight="true" outlineLevel="0" collapsed="false">
      <c r="A4" s="1" t="s">
        <v>9</v>
      </c>
      <c r="B4" s="9" t="n">
        <f aca="false">Assumptions!$B$5+('Ad Spend Input'!B4*Assumptions!$C$5)+(Assumptions!$D$5*Assumptions!$E$5)+Assumptions!$F$5</f>
        <v>48900</v>
      </c>
      <c r="C4" s="9" t="n">
        <f aca="false">Assumptions!$B$5+('Ad Spend Input'!C4*Assumptions!$C$5)+(Assumptions!$D$5*Assumptions!$E$5)+Assumptions!$F$5</f>
        <v>50000</v>
      </c>
      <c r="D4" s="9" t="n">
        <f aca="false">Assumptions!$B$5+('Ad Spend Input'!D4*Assumptions!$C$5)+(Assumptions!$D$5*Assumptions!$E$5)+Assumptions!$F$5</f>
        <v>51650</v>
      </c>
      <c r="E4" s="9" t="n">
        <f aca="false">Assumptions!$B$5+('Ad Spend Input'!E4*Assumptions!$C$5)+(Assumptions!$D$5*Assumptions!$E$5)+Assumptions!$F$5</f>
        <v>53300</v>
      </c>
      <c r="F4" s="9" t="n">
        <f aca="false">Assumptions!$B$5+('Ad Spend Input'!F4*Assumptions!$C$5)+(Assumptions!$D$5*Assumptions!$E$5)+Assumptions!$F$5</f>
        <v>54400</v>
      </c>
      <c r="G4" s="9" t="n">
        <f aca="false">Assumptions!$B$5+('Ad Spend Input'!G4*Assumptions!$C$5)+(Assumptions!$D$5*Assumptions!$E$5)+Assumptions!$F$5</f>
        <v>57150</v>
      </c>
      <c r="H4" s="9" t="n">
        <f aca="false">Assumptions!$B$5+('Ad Spend Input'!H4*Assumptions!$C$5)+(Assumptions!$D$5*Assumptions!$E$5)+Assumptions!$F$5</f>
        <v>59900</v>
      </c>
      <c r="I4" s="9" t="n">
        <f aca="false">Assumptions!$B$5+('Ad Spend Input'!I4*Assumptions!$C$5)+(Assumptions!$D$5*Assumptions!$E$5)+Assumptions!$F$5</f>
        <v>62650</v>
      </c>
      <c r="J4" s="9" t="n">
        <f aca="false">Assumptions!$B$5+('Ad Spend Input'!J4*Assumptions!$C$5)+(Assumptions!$D$5*Assumptions!$E$5)+Assumptions!$F$5</f>
        <v>59900</v>
      </c>
      <c r="K4" s="9" t="n">
        <f aca="false">Assumptions!$B$5+('Ad Spend Input'!K4*Assumptions!$C$5)+(Assumptions!$D$5*Assumptions!$E$5)+Assumptions!$F$5</f>
        <v>57150</v>
      </c>
      <c r="L4" s="9" t="n">
        <f aca="false">Assumptions!$B$5+('Ad Spend Input'!L4*Assumptions!$C$5)+(Assumptions!$D$5*Assumptions!$E$5)+Assumptions!$F$5</f>
        <v>59900</v>
      </c>
      <c r="M4" s="9" t="n">
        <f aca="false">Assumptions!$B$5+('Ad Spend Input'!M4*Assumptions!$C$5)+(Assumptions!$D$5*Assumptions!$E$5)+Assumptions!$F$5</f>
        <v>62650</v>
      </c>
      <c r="N4" s="9" t="n">
        <f aca="false">SUM(B4:M4)</f>
        <v>677550</v>
      </c>
    </row>
    <row r="5" customFormat="false" ht="15" hidden="false" customHeight="true" outlineLevel="0" collapsed="false">
      <c r="A5" s="1" t="s">
        <v>11</v>
      </c>
      <c r="B5" s="9" t="n">
        <f aca="false">Assumptions!$B$6+('Ad Spend Input'!B5*Assumptions!$C$6)+(Assumptions!$D$6*Assumptions!$E$6)+Assumptions!$F$6</f>
        <v>5000</v>
      </c>
      <c r="C5" s="9" t="n">
        <f aca="false">Assumptions!$B$6+('Ad Spend Input'!C5*Assumptions!$C$6)+(Assumptions!$D$6*Assumptions!$E$6)+Assumptions!$F$6</f>
        <v>5000</v>
      </c>
      <c r="D5" s="9" t="n">
        <f aca="false">Assumptions!$B$6+('Ad Spend Input'!D5*Assumptions!$C$6)+(Assumptions!$D$6*Assumptions!$E$6)+Assumptions!$F$6</f>
        <v>5000</v>
      </c>
      <c r="E5" s="9" t="n">
        <f aca="false">Assumptions!$B$6+('Ad Spend Input'!E5*Assumptions!$C$6)+(Assumptions!$D$6*Assumptions!$E$6)+Assumptions!$F$6</f>
        <v>5000</v>
      </c>
      <c r="F5" s="9" t="n">
        <f aca="false">Assumptions!$B$6+('Ad Spend Input'!F5*Assumptions!$C$6)+(Assumptions!$D$6*Assumptions!$E$6)+Assumptions!$F$6</f>
        <v>5000</v>
      </c>
      <c r="G5" s="9" t="n">
        <f aca="false">Assumptions!$B$6+('Ad Spend Input'!G5*Assumptions!$C$6)+(Assumptions!$D$6*Assumptions!$E$6)+Assumptions!$F$6</f>
        <v>5000</v>
      </c>
      <c r="H5" s="9" t="n">
        <f aca="false">Assumptions!$B$6+('Ad Spend Input'!H5*Assumptions!$C$6)+(Assumptions!$D$6*Assumptions!$E$6)+Assumptions!$F$6</f>
        <v>5000</v>
      </c>
      <c r="I5" s="9" t="n">
        <f aca="false">Assumptions!$B$6+('Ad Spend Input'!I5*Assumptions!$C$6)+(Assumptions!$D$6*Assumptions!$E$6)+Assumptions!$F$6</f>
        <v>5000</v>
      </c>
      <c r="J5" s="9" t="n">
        <f aca="false">Assumptions!$B$6+('Ad Spend Input'!J5*Assumptions!$C$6)+(Assumptions!$D$6*Assumptions!$E$6)+Assumptions!$F$6</f>
        <v>5000</v>
      </c>
      <c r="K5" s="9" t="n">
        <f aca="false">Assumptions!$B$6+('Ad Spend Input'!K5*Assumptions!$C$6)+(Assumptions!$D$6*Assumptions!$E$6)+Assumptions!$F$6</f>
        <v>5000</v>
      </c>
      <c r="L5" s="9" t="n">
        <f aca="false">Assumptions!$B$6+('Ad Spend Input'!L5*Assumptions!$C$6)+(Assumptions!$D$6*Assumptions!$E$6)+Assumptions!$F$6</f>
        <v>5000</v>
      </c>
      <c r="M5" s="9" t="n">
        <f aca="false">Assumptions!$B$6+('Ad Spend Input'!M5*Assumptions!$C$6)+(Assumptions!$D$6*Assumptions!$E$6)+Assumptions!$F$6</f>
        <v>5000</v>
      </c>
      <c r="N5" s="9" t="n">
        <f aca="false">SUM(B5:M5)</f>
        <v>60000</v>
      </c>
    </row>
    <row r="6" customFormat="false" ht="15" hidden="false" customHeight="true" outlineLevel="0" collapsed="false">
      <c r="A6" s="1" t="s">
        <v>13</v>
      </c>
      <c r="B6" s="9" t="n">
        <f aca="false">Assumptions!$B$7+('Ad Spend Input'!B6*Assumptions!$C$7)+(Assumptions!$D$7*Assumptions!$E$7)+Assumptions!$F$7</f>
        <v>1400</v>
      </c>
      <c r="C6" s="9" t="n">
        <f aca="false">Assumptions!$B$7+('Ad Spend Input'!C6*Assumptions!$C$7)+(Assumptions!$D$7*Assumptions!$E$7)+Assumptions!$F$7</f>
        <v>1750</v>
      </c>
      <c r="D6" s="9" t="n">
        <f aca="false">Assumptions!$B$7+('Ad Spend Input'!D6*Assumptions!$C$7)+(Assumptions!$D$7*Assumptions!$E$7)+Assumptions!$F$7</f>
        <v>2800</v>
      </c>
      <c r="E6" s="9" t="n">
        <f aca="false">Assumptions!$B$7+('Ad Spend Input'!E6*Assumptions!$C$7)+(Assumptions!$D$7*Assumptions!$E$7)+Assumptions!$F$7</f>
        <v>4200</v>
      </c>
      <c r="F6" s="9" t="n">
        <f aca="false">Assumptions!$B$7+('Ad Spend Input'!F6*Assumptions!$C$7)+(Assumptions!$D$7*Assumptions!$E$7)+Assumptions!$F$7</f>
        <v>5600</v>
      </c>
      <c r="G6" s="9" t="n">
        <f aca="false">Assumptions!$B$7+('Ad Spend Input'!G6*Assumptions!$C$7)+(Assumptions!$D$7*Assumptions!$E$7)+Assumptions!$F$7</f>
        <v>7000</v>
      </c>
      <c r="H6" s="9" t="n">
        <f aca="false">Assumptions!$B$7+('Ad Spend Input'!H6*Assumptions!$C$7)+(Assumptions!$D$7*Assumptions!$E$7)+Assumptions!$F$7</f>
        <v>8400</v>
      </c>
      <c r="I6" s="9" t="n">
        <f aca="false">Assumptions!$B$7+('Ad Spend Input'!I6*Assumptions!$C$7)+(Assumptions!$D$7*Assumptions!$E$7)+Assumptions!$F$7</f>
        <v>7000</v>
      </c>
      <c r="J6" s="9" t="n">
        <f aca="false">Assumptions!$B$7+('Ad Spend Input'!J6*Assumptions!$C$7)+(Assumptions!$D$7*Assumptions!$E$7)+Assumptions!$F$7</f>
        <v>4200</v>
      </c>
      <c r="K6" s="9" t="n">
        <f aca="false">Assumptions!$B$7+('Ad Spend Input'!K6*Assumptions!$C$7)+(Assumptions!$D$7*Assumptions!$E$7)+Assumptions!$F$7</f>
        <v>2100</v>
      </c>
      <c r="L6" s="9" t="n">
        <f aca="false">Assumptions!$B$7+('Ad Spend Input'!L6*Assumptions!$C$7)+(Assumptions!$D$7*Assumptions!$E$7)+Assumptions!$F$7</f>
        <v>2800</v>
      </c>
      <c r="M6" s="9" t="n">
        <f aca="false">Assumptions!$B$7+('Ad Spend Input'!M6*Assumptions!$C$7)+(Assumptions!$D$7*Assumptions!$E$7)+Assumptions!$F$7</f>
        <v>5600</v>
      </c>
      <c r="N6" s="9" t="n">
        <f aca="false">SUM(B6:M6)</f>
        <v>52850</v>
      </c>
    </row>
    <row r="7" customFormat="false" ht="15" hidden="false" customHeight="true" outlineLevel="0" collapsed="false">
      <c r="A7" s="1" t="s">
        <v>15</v>
      </c>
      <c r="B7" s="9" t="n">
        <f aca="false">Assumptions!$B$8+('Ad Spend Input'!B7*Assumptions!$C$8)+(Assumptions!$D$8*Assumptions!$E$8)+Assumptions!$F$8</f>
        <v>5000</v>
      </c>
      <c r="C7" s="9" t="n">
        <f aca="false">Assumptions!$B$8+('Ad Spend Input'!C7*Assumptions!$C$8)+(Assumptions!$D$8*Assumptions!$E$8)+Assumptions!$F$8</f>
        <v>5250</v>
      </c>
      <c r="D7" s="9" t="n">
        <f aca="false">Assumptions!$B$8+('Ad Spend Input'!D7*Assumptions!$C$8)+(Assumptions!$D$8*Assumptions!$E$8)+Assumptions!$F$8</f>
        <v>5500</v>
      </c>
      <c r="E7" s="9" t="n">
        <f aca="false">Assumptions!$B$8+('Ad Spend Input'!E7*Assumptions!$C$8)+(Assumptions!$D$8*Assumptions!$E$8)+Assumptions!$F$8</f>
        <v>5750</v>
      </c>
      <c r="F7" s="9" t="n">
        <f aca="false">Assumptions!$B$8+('Ad Spend Input'!F7*Assumptions!$C$8)+(Assumptions!$D$8*Assumptions!$E$8)+Assumptions!$F$8</f>
        <v>6000</v>
      </c>
      <c r="G7" s="9" t="n">
        <f aca="false">Assumptions!$B$8+('Ad Spend Input'!G7*Assumptions!$C$8)+(Assumptions!$D$8*Assumptions!$E$8)+Assumptions!$F$8</f>
        <v>6000</v>
      </c>
      <c r="H7" s="9" t="n">
        <f aca="false">Assumptions!$B$8+('Ad Spend Input'!H7*Assumptions!$C$8)+(Assumptions!$D$8*Assumptions!$E$8)+Assumptions!$F$8</f>
        <v>6000</v>
      </c>
      <c r="I7" s="9" t="n">
        <f aca="false">Assumptions!$B$8+('Ad Spend Input'!I7*Assumptions!$C$8)+(Assumptions!$D$8*Assumptions!$E$8)+Assumptions!$F$8</f>
        <v>6000</v>
      </c>
      <c r="J7" s="9" t="n">
        <f aca="false">Assumptions!$B$8+('Ad Spend Input'!J7*Assumptions!$C$8)+(Assumptions!$D$8*Assumptions!$E$8)+Assumptions!$F$8</f>
        <v>6000</v>
      </c>
      <c r="K7" s="9" t="n">
        <f aca="false">Assumptions!$B$8+('Ad Spend Input'!K7*Assumptions!$C$8)+(Assumptions!$D$8*Assumptions!$E$8)+Assumptions!$F$8</f>
        <v>5750</v>
      </c>
      <c r="L7" s="9" t="n">
        <f aca="false">Assumptions!$B$8+('Ad Spend Input'!L7*Assumptions!$C$8)+(Assumptions!$D$8*Assumptions!$E$8)+Assumptions!$F$8</f>
        <v>6000</v>
      </c>
      <c r="M7" s="9" t="n">
        <f aca="false">Assumptions!$B$8+('Ad Spend Input'!M7*Assumptions!$C$8)+(Assumptions!$D$8*Assumptions!$E$8)+Assumptions!$F$8</f>
        <v>6250</v>
      </c>
      <c r="N7" s="9" t="n">
        <f aca="false">SUM(B7:M7)</f>
        <v>69500</v>
      </c>
    </row>
    <row r="8" customFormat="false" ht="15" hidden="false" customHeight="true" outlineLevel="0" collapsed="false">
      <c r="A8" s="1" t="s">
        <v>17</v>
      </c>
      <c r="B8" s="9" t="n">
        <f aca="false">Assumptions!$B$9+('Ad Spend Input'!B8*Assumptions!$C$9)+(Assumptions!$D$9*Assumptions!$E$9)+Assumptions!$F$9</f>
        <v>8800</v>
      </c>
      <c r="C8" s="9" t="n">
        <f aca="false">Assumptions!$B$9+('Ad Spend Input'!C8*Assumptions!$C$9)+(Assumptions!$D$9*Assumptions!$E$9)+Assumptions!$F$9</f>
        <v>9150</v>
      </c>
      <c r="D8" s="9" t="n">
        <f aca="false">Assumptions!$B$9+('Ad Spend Input'!D8*Assumptions!$C$9)+(Assumptions!$D$9*Assumptions!$E$9)+Assumptions!$F$9</f>
        <v>9500</v>
      </c>
      <c r="E8" s="9" t="n">
        <f aca="false">Assumptions!$B$9+('Ad Spend Input'!E8*Assumptions!$C$9)+(Assumptions!$D$9*Assumptions!$E$9)+Assumptions!$F$9</f>
        <v>9850</v>
      </c>
      <c r="F8" s="9" t="n">
        <f aca="false">Assumptions!$B$9+('Ad Spend Input'!F8*Assumptions!$C$9)+(Assumptions!$D$9*Assumptions!$E$9)+Assumptions!$F$9</f>
        <v>10200</v>
      </c>
      <c r="G8" s="9" t="n">
        <f aca="false">Assumptions!$B$9+('Ad Spend Input'!G8*Assumptions!$C$9)+(Assumptions!$D$9*Assumptions!$E$9)+Assumptions!$F$9</f>
        <v>10900</v>
      </c>
      <c r="H8" s="9" t="n">
        <f aca="false">Assumptions!$B$9+('Ad Spend Input'!H8*Assumptions!$C$9)+(Assumptions!$D$9*Assumptions!$E$9)+Assumptions!$F$9</f>
        <v>11600</v>
      </c>
      <c r="I8" s="9" t="n">
        <f aca="false">Assumptions!$B$9+('Ad Spend Input'!I8*Assumptions!$C$9)+(Assumptions!$D$9*Assumptions!$E$9)+Assumptions!$F$9</f>
        <v>12300</v>
      </c>
      <c r="J8" s="9" t="n">
        <f aca="false">Assumptions!$B$9+('Ad Spend Input'!J8*Assumptions!$C$9)+(Assumptions!$D$9*Assumptions!$E$9)+Assumptions!$F$9</f>
        <v>13000</v>
      </c>
      <c r="K8" s="9" t="n">
        <f aca="false">Assumptions!$B$9+('Ad Spend Input'!K8*Assumptions!$C$9)+(Assumptions!$D$9*Assumptions!$E$9)+Assumptions!$F$9</f>
        <v>14400</v>
      </c>
      <c r="L8" s="9" t="n">
        <f aca="false">Assumptions!$B$9+('Ad Spend Input'!L8*Assumptions!$C$9)+(Assumptions!$D$9*Assumptions!$E$9)+Assumptions!$F$9</f>
        <v>15100</v>
      </c>
      <c r="M8" s="9" t="n">
        <f aca="false">Assumptions!$B$9+('Ad Spend Input'!M8*Assumptions!$C$9)+(Assumptions!$D$9*Assumptions!$E$9)+Assumptions!$F$9</f>
        <v>16500</v>
      </c>
      <c r="N8" s="9" t="n">
        <f aca="false">SUM(B8:M8)</f>
        <v>141300</v>
      </c>
    </row>
    <row r="9" customFormat="false" ht="15" hidden="false" customHeight="true" outlineLevel="0" collapsed="false">
      <c r="A9" s="1" t="s">
        <v>19</v>
      </c>
      <c r="B9" s="9" t="n">
        <f aca="false">Assumptions!$B$10+('Ad Spend Input'!B9*Assumptions!$C$10)+(Assumptions!$D$10*Assumptions!$E$10)+Assumptions!$F$10</f>
        <v>6100</v>
      </c>
      <c r="C9" s="9" t="n">
        <f aca="false">Assumptions!$B$10+('Ad Spend Input'!C9*Assumptions!$C$10)+(Assumptions!$D$10*Assumptions!$E$10)+Assumptions!$F$10</f>
        <v>6450</v>
      </c>
      <c r="D9" s="9" t="n">
        <f aca="false">Assumptions!$B$10+('Ad Spend Input'!D9*Assumptions!$C$10)+(Assumptions!$D$10*Assumptions!$E$10)+Assumptions!$F$10</f>
        <v>6800</v>
      </c>
      <c r="E9" s="9" t="n">
        <f aca="false">Assumptions!$B$10+('Ad Spend Input'!E9*Assumptions!$C$10)+(Assumptions!$D$10*Assumptions!$E$10)+Assumptions!$F$10</f>
        <v>7150</v>
      </c>
      <c r="F9" s="9" t="n">
        <f aca="false">Assumptions!$B$10+('Ad Spend Input'!F9*Assumptions!$C$10)+(Assumptions!$D$10*Assumptions!$E$10)+Assumptions!$F$10</f>
        <v>7500</v>
      </c>
      <c r="G9" s="9" t="n">
        <f aca="false">Assumptions!$B$10+('Ad Spend Input'!G9*Assumptions!$C$10)+(Assumptions!$D$10*Assumptions!$E$10)+Assumptions!$F$10</f>
        <v>8200</v>
      </c>
      <c r="H9" s="9" t="n">
        <f aca="false">Assumptions!$B$10+('Ad Spend Input'!H9*Assumptions!$C$10)+(Assumptions!$D$10*Assumptions!$E$10)+Assumptions!$F$10</f>
        <v>9600</v>
      </c>
      <c r="I9" s="9" t="n">
        <f aca="false">Assumptions!$B$10+('Ad Spend Input'!I9*Assumptions!$C$10)+(Assumptions!$D$10*Assumptions!$E$10)+Assumptions!$F$10</f>
        <v>8900</v>
      </c>
      <c r="J9" s="9" t="n">
        <f aca="false">Assumptions!$B$10+('Ad Spend Input'!J9*Assumptions!$C$10)+(Assumptions!$D$10*Assumptions!$E$10)+Assumptions!$F$10</f>
        <v>8200</v>
      </c>
      <c r="K9" s="9" t="n">
        <f aca="false">Assumptions!$B$10+('Ad Spend Input'!K9*Assumptions!$C$10)+(Assumptions!$D$10*Assumptions!$E$10)+Assumptions!$F$10</f>
        <v>8900</v>
      </c>
      <c r="L9" s="9" t="n">
        <f aca="false">Assumptions!$B$10+('Ad Spend Input'!L9*Assumptions!$C$10)+(Assumptions!$D$10*Assumptions!$E$10)+Assumptions!$F$10</f>
        <v>9600</v>
      </c>
      <c r="M9" s="9" t="n">
        <f aca="false">Assumptions!$B$10+('Ad Spend Input'!M9*Assumptions!$C$10)+(Assumptions!$D$10*Assumptions!$E$10)+Assumptions!$F$10</f>
        <v>11000</v>
      </c>
      <c r="N9" s="9" t="n">
        <f aca="false">SUM(B9:M9)</f>
        <v>98400</v>
      </c>
    </row>
    <row r="10" customFormat="false" ht="15" hidden="false" customHeight="true" outlineLevel="0" collapsed="false">
      <c r="A10" s="3" t="s">
        <v>52</v>
      </c>
      <c r="B10" s="11" t="n">
        <f aca="false">SUM(B4:B9)</f>
        <v>75200</v>
      </c>
      <c r="C10" s="11" t="n">
        <f aca="false">SUM(C4:C9)</f>
        <v>77600</v>
      </c>
      <c r="D10" s="11" t="n">
        <f aca="false">SUM(D4:D9)</f>
        <v>81250</v>
      </c>
      <c r="E10" s="11" t="n">
        <f aca="false">SUM(E4:E9)</f>
        <v>85250</v>
      </c>
      <c r="F10" s="11" t="n">
        <f aca="false">SUM(F4:F9)</f>
        <v>88700</v>
      </c>
      <c r="G10" s="11" t="n">
        <f aca="false">SUM(G4:G9)</f>
        <v>94250</v>
      </c>
      <c r="H10" s="11" t="n">
        <f aca="false">SUM(H4:H9)</f>
        <v>100500</v>
      </c>
      <c r="I10" s="11" t="n">
        <f aca="false">SUM(I4:I9)</f>
        <v>101850</v>
      </c>
      <c r="J10" s="11" t="n">
        <f aca="false">SUM(J4:J9)</f>
        <v>96300</v>
      </c>
      <c r="K10" s="11" t="n">
        <f aca="false">SUM(K4:K9)</f>
        <v>93300</v>
      </c>
      <c r="L10" s="11" t="n">
        <f aca="false">SUM(L4:L9)</f>
        <v>98400</v>
      </c>
      <c r="M10" s="11" t="n">
        <f aca="false">SUM(M4:M9)</f>
        <v>107000</v>
      </c>
      <c r="N10" s="11" t="n">
        <f aca="false">SUM(N4:N9)</f>
        <v>1099600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14" min="2" style="1" width="11"/>
  </cols>
  <sheetData>
    <row r="1" customFormat="false" ht="17.25" hidden="false" customHeight="true" outlineLevel="0" collapsed="false">
      <c r="A1" s="2" t="s">
        <v>53</v>
      </c>
    </row>
    <row r="3" customFormat="false" ht="15" hidden="false" customHeight="true" outlineLevel="0" collapsed="false">
      <c r="A3" s="1" t="s">
        <v>22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</row>
    <row r="4" customFormat="false" ht="15" hidden="false" customHeight="true" outlineLevel="0" collapsed="false">
      <c r="A4" s="1" t="s">
        <v>24</v>
      </c>
      <c r="B4" s="9" t="n">
        <f aca="false">Assumptions!$B$15</f>
        <v>20615</v>
      </c>
      <c r="C4" s="9" t="n">
        <f aca="false">Assumptions!$B$15</f>
        <v>20615</v>
      </c>
      <c r="D4" s="9" t="n">
        <f aca="false">Assumptions!$B$15</f>
        <v>20615</v>
      </c>
      <c r="E4" s="9" t="n">
        <f aca="false">Assumptions!$B$15</f>
        <v>20615</v>
      </c>
      <c r="F4" s="9" t="n">
        <f aca="false">Assumptions!$B$15</f>
        <v>20615</v>
      </c>
      <c r="G4" s="9" t="n">
        <f aca="false">Assumptions!$B$15</f>
        <v>20615</v>
      </c>
      <c r="H4" s="9" t="n">
        <f aca="false">Assumptions!$B$15</f>
        <v>20615</v>
      </c>
      <c r="I4" s="9" t="n">
        <f aca="false">Assumptions!$B$15</f>
        <v>20615</v>
      </c>
      <c r="J4" s="9" t="n">
        <f aca="false">Assumptions!$B$15</f>
        <v>20615</v>
      </c>
      <c r="K4" s="9" t="n">
        <f aca="false">Assumptions!$B$15</f>
        <v>20615</v>
      </c>
      <c r="L4" s="9" t="n">
        <f aca="false">Assumptions!$B$15</f>
        <v>20615</v>
      </c>
      <c r="M4" s="9" t="n">
        <f aca="false">Assumptions!$B$15</f>
        <v>20615</v>
      </c>
      <c r="N4" s="9" t="n">
        <f aca="false">SUM(B4:M4)</f>
        <v>247380</v>
      </c>
    </row>
    <row r="5" customFormat="false" ht="15" hidden="false" customHeight="true" outlineLevel="0" collapsed="false">
      <c r="A5" s="1" t="s">
        <v>26</v>
      </c>
      <c r="B5" s="9" t="n">
        <f aca="false">Assumptions!$B$16</f>
        <v>1674</v>
      </c>
      <c r="C5" s="9" t="n">
        <f aca="false">Assumptions!$B$16</f>
        <v>1674</v>
      </c>
      <c r="D5" s="9" t="n">
        <f aca="false">Assumptions!$B$16</f>
        <v>1674</v>
      </c>
      <c r="E5" s="9" t="n">
        <f aca="false">Assumptions!$B$16</f>
        <v>1674</v>
      </c>
      <c r="F5" s="9" t="n">
        <f aca="false">Assumptions!$B$16</f>
        <v>1674</v>
      </c>
      <c r="G5" s="9" t="n">
        <f aca="false">Assumptions!$B$16</f>
        <v>1674</v>
      </c>
      <c r="H5" s="9" t="n">
        <f aca="false">Assumptions!$B$16</f>
        <v>1674</v>
      </c>
      <c r="I5" s="9" t="n">
        <f aca="false">Assumptions!$B$16</f>
        <v>1674</v>
      </c>
      <c r="J5" s="9" t="n">
        <f aca="false">Assumptions!$B$16</f>
        <v>1674</v>
      </c>
      <c r="K5" s="9" t="n">
        <f aca="false">Assumptions!$B$16</f>
        <v>1674</v>
      </c>
      <c r="L5" s="9" t="n">
        <f aca="false">Assumptions!$B$16</f>
        <v>1674</v>
      </c>
      <c r="M5" s="9" t="n">
        <f aca="false">Assumptions!$B$16</f>
        <v>1674</v>
      </c>
      <c r="N5" s="9" t="n">
        <f aca="false">SUM(B5:M5)</f>
        <v>20088</v>
      </c>
    </row>
    <row r="6" customFormat="false" ht="15" hidden="false" customHeight="true" outlineLevel="0" collapsed="false">
      <c r="A6" s="1" t="s">
        <v>27</v>
      </c>
      <c r="B6" s="9" t="n">
        <f aca="false">Assumptions!$B$17</f>
        <v>1575</v>
      </c>
      <c r="C6" s="9" t="n">
        <f aca="false">Assumptions!$B$17</f>
        <v>1575</v>
      </c>
      <c r="D6" s="9" t="n">
        <f aca="false">Assumptions!$B$17</f>
        <v>1575</v>
      </c>
      <c r="E6" s="9" t="n">
        <f aca="false">Assumptions!$B$17</f>
        <v>1575</v>
      </c>
      <c r="F6" s="9" t="n">
        <f aca="false">Assumptions!$B$17</f>
        <v>1575</v>
      </c>
      <c r="G6" s="9" t="n">
        <f aca="false">Assumptions!$B$17</f>
        <v>1575</v>
      </c>
      <c r="H6" s="9" t="n">
        <f aca="false">Assumptions!$B$17</f>
        <v>1575</v>
      </c>
      <c r="I6" s="9" t="n">
        <f aca="false">Assumptions!$B$17</f>
        <v>1575</v>
      </c>
      <c r="J6" s="9" t="n">
        <f aca="false">Assumptions!$B$17</f>
        <v>1575</v>
      </c>
      <c r="K6" s="9" t="n">
        <f aca="false">Assumptions!$B$17</f>
        <v>1575</v>
      </c>
      <c r="L6" s="9" t="n">
        <f aca="false">Assumptions!$B$17</f>
        <v>1575</v>
      </c>
      <c r="M6" s="9" t="n">
        <f aca="false">Assumptions!$B$17</f>
        <v>1575</v>
      </c>
      <c r="N6" s="9" t="n">
        <f aca="false">SUM(B6:M6)</f>
        <v>18900</v>
      </c>
    </row>
    <row r="7" customFormat="false" ht="15" hidden="false" customHeight="true" outlineLevel="0" collapsed="false">
      <c r="A7" s="1" t="s">
        <v>28</v>
      </c>
      <c r="B7" s="9" t="n">
        <f aca="false">Assumptions!$B$18</f>
        <v>35839</v>
      </c>
      <c r="C7" s="9" t="n">
        <f aca="false">Assumptions!$B$18</f>
        <v>35839</v>
      </c>
      <c r="D7" s="9" t="n">
        <f aca="false">Assumptions!$B$18</f>
        <v>35839</v>
      </c>
      <c r="E7" s="9" t="n">
        <f aca="false">Assumptions!$B$18</f>
        <v>35839</v>
      </c>
      <c r="F7" s="9" t="n">
        <f aca="false">Assumptions!$B$18</f>
        <v>35839</v>
      </c>
      <c r="G7" s="9" t="n">
        <f aca="false">Assumptions!$B$18</f>
        <v>35839</v>
      </c>
      <c r="H7" s="9" t="n">
        <f aca="false">Assumptions!$B$18</f>
        <v>35839</v>
      </c>
      <c r="I7" s="9" t="n">
        <f aca="false">Assumptions!$B$18</f>
        <v>35839</v>
      </c>
      <c r="J7" s="9" t="n">
        <f aca="false">Assumptions!$B$18</f>
        <v>35839</v>
      </c>
      <c r="K7" s="9" t="n">
        <f aca="false">Assumptions!$B$18</f>
        <v>35839</v>
      </c>
      <c r="L7" s="9" t="n">
        <f aca="false">Assumptions!$B$18</f>
        <v>35839</v>
      </c>
      <c r="M7" s="9" t="n">
        <f aca="false">Assumptions!$B$18</f>
        <v>35839</v>
      </c>
      <c r="N7" s="9" t="n">
        <f aca="false">SUM(B7:M7)</f>
        <v>430068</v>
      </c>
    </row>
    <row r="8" customFormat="false" ht="15" hidden="false" customHeight="true" outlineLevel="0" collapsed="false">
      <c r="A8" s="1" t="s">
        <v>29</v>
      </c>
      <c r="B8" s="9" t="n">
        <f aca="false">Assumptions!$B$19</f>
        <v>4829</v>
      </c>
      <c r="C8" s="9" t="n">
        <f aca="false">Assumptions!$B$19</f>
        <v>4829</v>
      </c>
      <c r="D8" s="9" t="n">
        <f aca="false">Assumptions!$B$19</f>
        <v>4829</v>
      </c>
      <c r="E8" s="9" t="n">
        <f aca="false">Assumptions!$B$19</f>
        <v>4829</v>
      </c>
      <c r="F8" s="9" t="n">
        <f aca="false">Assumptions!$B$19</f>
        <v>4829</v>
      </c>
      <c r="G8" s="9" t="n">
        <f aca="false">Assumptions!$B$19</f>
        <v>4829</v>
      </c>
      <c r="H8" s="9" t="n">
        <f aca="false">Assumptions!$B$19</f>
        <v>4829</v>
      </c>
      <c r="I8" s="9" t="n">
        <f aca="false">Assumptions!$B$19</f>
        <v>4829</v>
      </c>
      <c r="J8" s="9" t="n">
        <f aca="false">Assumptions!$B$19</f>
        <v>4829</v>
      </c>
      <c r="K8" s="9" t="n">
        <f aca="false">Assumptions!$B$19</f>
        <v>4829</v>
      </c>
      <c r="L8" s="9" t="n">
        <f aca="false">Assumptions!$B$19</f>
        <v>4829</v>
      </c>
      <c r="M8" s="9" t="n">
        <f aca="false">Assumptions!$B$19</f>
        <v>4829</v>
      </c>
      <c r="N8" s="9" t="n">
        <f aca="false">SUM(B8:M8)</f>
        <v>57948</v>
      </c>
    </row>
    <row r="9" customFormat="false" ht="15" hidden="false" customHeight="true" outlineLevel="0" collapsed="false">
      <c r="A9" s="1" t="s">
        <v>30</v>
      </c>
      <c r="B9" s="9" t="n">
        <f aca="false">Assumptions!$B$20</f>
        <v>2962</v>
      </c>
      <c r="C9" s="9" t="n">
        <f aca="false">Assumptions!$B$20</f>
        <v>2962</v>
      </c>
      <c r="D9" s="9" t="n">
        <f aca="false">Assumptions!$B$20</f>
        <v>2962</v>
      </c>
      <c r="E9" s="9" t="n">
        <f aca="false">Assumptions!$B$20</f>
        <v>2962</v>
      </c>
      <c r="F9" s="9" t="n">
        <f aca="false">Assumptions!$B$20</f>
        <v>2962</v>
      </c>
      <c r="G9" s="9" t="n">
        <f aca="false">Assumptions!$B$20</f>
        <v>2962</v>
      </c>
      <c r="H9" s="9" t="n">
        <f aca="false">Assumptions!$B$20</f>
        <v>2962</v>
      </c>
      <c r="I9" s="9" t="n">
        <f aca="false">Assumptions!$B$20</f>
        <v>2962</v>
      </c>
      <c r="J9" s="9" t="n">
        <f aca="false">Assumptions!$B$20</f>
        <v>2962</v>
      </c>
      <c r="K9" s="9" t="n">
        <f aca="false">Assumptions!$B$20</f>
        <v>2962</v>
      </c>
      <c r="L9" s="9" t="n">
        <f aca="false">Assumptions!$B$20</f>
        <v>2962</v>
      </c>
      <c r="M9" s="9" t="n">
        <f aca="false">Assumptions!$B$20</f>
        <v>2962</v>
      </c>
      <c r="N9" s="9" t="n">
        <f aca="false">SUM(B9:M9)</f>
        <v>35544</v>
      </c>
    </row>
    <row r="10" customFormat="false" ht="15" hidden="false" customHeight="true" outlineLevel="0" collapsed="false">
      <c r="A10" s="1" t="s">
        <v>31</v>
      </c>
      <c r="B10" s="9" t="n">
        <f aca="false">Assumptions!$B$21</f>
        <v>2000</v>
      </c>
      <c r="C10" s="9" t="n">
        <f aca="false">Assumptions!$B$21</f>
        <v>2000</v>
      </c>
      <c r="D10" s="9" t="n">
        <f aca="false">Assumptions!$B$21</f>
        <v>2000</v>
      </c>
      <c r="E10" s="9" t="n">
        <f aca="false">Assumptions!$B$21</f>
        <v>2000</v>
      </c>
      <c r="F10" s="9" t="n">
        <f aca="false">Assumptions!$B$21</f>
        <v>2000</v>
      </c>
      <c r="G10" s="9" t="n">
        <f aca="false">Assumptions!$B$21</f>
        <v>2000</v>
      </c>
      <c r="H10" s="9" t="n">
        <f aca="false">Assumptions!$B$21</f>
        <v>2000</v>
      </c>
      <c r="I10" s="9" t="n">
        <f aca="false">Assumptions!$B$21</f>
        <v>2000</v>
      </c>
      <c r="J10" s="9" t="n">
        <f aca="false">Assumptions!$B$21</f>
        <v>2000</v>
      </c>
      <c r="K10" s="9" t="n">
        <f aca="false">Assumptions!$B$21</f>
        <v>2000</v>
      </c>
      <c r="L10" s="9" t="n">
        <f aca="false">Assumptions!$B$21</f>
        <v>2000</v>
      </c>
      <c r="M10" s="9" t="n">
        <f aca="false">Assumptions!$B$21</f>
        <v>2000</v>
      </c>
      <c r="N10" s="9" t="n">
        <f aca="false">SUM(B10:M10)</f>
        <v>24000</v>
      </c>
    </row>
    <row r="11" customFormat="false" ht="15" hidden="false" customHeight="true" outlineLevel="0" collapsed="false">
      <c r="A11" s="1" t="s">
        <v>32</v>
      </c>
      <c r="B11" s="9" t="n">
        <f aca="false">Assumptions!$B$22</f>
        <v>1526</v>
      </c>
      <c r="C11" s="9" t="n">
        <f aca="false">Assumptions!$B$22</f>
        <v>1526</v>
      </c>
      <c r="D11" s="9" t="n">
        <f aca="false">Assumptions!$B$22</f>
        <v>1526</v>
      </c>
      <c r="E11" s="9" t="n">
        <f aca="false">Assumptions!$B$22</f>
        <v>1526</v>
      </c>
      <c r="F11" s="9" t="n">
        <f aca="false">Assumptions!$B$22</f>
        <v>1526</v>
      </c>
      <c r="G11" s="9" t="n">
        <f aca="false">Assumptions!$B$22</f>
        <v>1526</v>
      </c>
      <c r="H11" s="9" t="n">
        <f aca="false">Assumptions!$B$22</f>
        <v>1526</v>
      </c>
      <c r="I11" s="9" t="n">
        <f aca="false">Assumptions!$B$22</f>
        <v>1526</v>
      </c>
      <c r="J11" s="9" t="n">
        <f aca="false">Assumptions!$B$22</f>
        <v>1526</v>
      </c>
      <c r="K11" s="9" t="n">
        <f aca="false">Assumptions!$B$22</f>
        <v>1526</v>
      </c>
      <c r="L11" s="9" t="n">
        <f aca="false">Assumptions!$B$22</f>
        <v>1526</v>
      </c>
      <c r="M11" s="9" t="n">
        <f aca="false">Assumptions!$B$22</f>
        <v>1526</v>
      </c>
      <c r="N11" s="9" t="n">
        <f aca="false">SUM(B11:M11)</f>
        <v>18312</v>
      </c>
    </row>
    <row r="12" customFormat="false" ht="15" hidden="false" customHeight="true" outlineLevel="0" collapsed="false">
      <c r="A12" s="1" t="s">
        <v>33</v>
      </c>
      <c r="B12" s="9" t="n">
        <f aca="false">Assumptions!$B$23</f>
        <v>1088</v>
      </c>
      <c r="C12" s="9" t="n">
        <f aca="false">Assumptions!$B$23</f>
        <v>1088</v>
      </c>
      <c r="D12" s="9" t="n">
        <f aca="false">Assumptions!$B$23</f>
        <v>1088</v>
      </c>
      <c r="E12" s="9" t="n">
        <f aca="false">Assumptions!$B$23</f>
        <v>1088</v>
      </c>
      <c r="F12" s="9" t="n">
        <f aca="false">Assumptions!$B$23</f>
        <v>1088</v>
      </c>
      <c r="G12" s="9" t="n">
        <f aca="false">Assumptions!$B$23</f>
        <v>1088</v>
      </c>
      <c r="H12" s="9" t="n">
        <f aca="false">Assumptions!$B$23</f>
        <v>1088</v>
      </c>
      <c r="I12" s="9" t="n">
        <f aca="false">Assumptions!$B$23</f>
        <v>1088</v>
      </c>
      <c r="J12" s="9" t="n">
        <f aca="false">Assumptions!$B$23</f>
        <v>1088</v>
      </c>
      <c r="K12" s="9" t="n">
        <f aca="false">Assumptions!$B$23</f>
        <v>1088</v>
      </c>
      <c r="L12" s="9" t="n">
        <f aca="false">Assumptions!$B$23</f>
        <v>1088</v>
      </c>
      <c r="M12" s="9" t="n">
        <f aca="false">Assumptions!$B$23</f>
        <v>1088</v>
      </c>
      <c r="N12" s="9" t="n">
        <f aca="false">SUM(B12:M12)</f>
        <v>13056</v>
      </c>
    </row>
    <row r="13" customFormat="false" ht="15" hidden="false" customHeight="true" outlineLevel="0" collapsed="false">
      <c r="A13" s="1" t="s">
        <v>34</v>
      </c>
      <c r="B13" s="9" t="n">
        <f aca="false">Assumptions!$B$24</f>
        <v>1500</v>
      </c>
      <c r="C13" s="9" t="n">
        <f aca="false">Assumptions!$B$24</f>
        <v>1500</v>
      </c>
      <c r="D13" s="9" t="n">
        <f aca="false">Assumptions!$B$24</f>
        <v>1500</v>
      </c>
      <c r="E13" s="9" t="n">
        <f aca="false">Assumptions!$B$24</f>
        <v>1500</v>
      </c>
      <c r="F13" s="9" t="n">
        <f aca="false">Assumptions!$B$24</f>
        <v>1500</v>
      </c>
      <c r="G13" s="9" t="n">
        <f aca="false">Assumptions!$B$24</f>
        <v>1500</v>
      </c>
      <c r="H13" s="9" t="n">
        <f aca="false">Assumptions!$B$24</f>
        <v>1500</v>
      </c>
      <c r="I13" s="9" t="n">
        <f aca="false">Assumptions!$B$24</f>
        <v>1500</v>
      </c>
      <c r="J13" s="9" t="n">
        <f aca="false">Assumptions!$B$24</f>
        <v>1500</v>
      </c>
      <c r="K13" s="9" t="n">
        <f aca="false">Assumptions!$B$24</f>
        <v>1500</v>
      </c>
      <c r="L13" s="9" t="n">
        <f aca="false">Assumptions!$B$24</f>
        <v>1500</v>
      </c>
      <c r="M13" s="9" t="n">
        <f aca="false">Assumptions!$B$24</f>
        <v>1500</v>
      </c>
      <c r="N13" s="9" t="n">
        <f aca="false">SUM(B13:M13)</f>
        <v>18000</v>
      </c>
    </row>
    <row r="14" customFormat="false" ht="15" hidden="false" customHeight="true" outlineLevel="0" collapsed="false">
      <c r="A14" s="3" t="s">
        <v>54</v>
      </c>
      <c r="B14" s="12" t="n">
        <f aca="false">SUM(B4:B13)</f>
        <v>73608</v>
      </c>
      <c r="C14" s="12" t="n">
        <f aca="false">SUM(C4:C13)</f>
        <v>73608</v>
      </c>
      <c r="D14" s="12" t="n">
        <f aca="false">SUM(D4:D13)</f>
        <v>73608</v>
      </c>
      <c r="E14" s="12" t="n">
        <f aca="false">SUM(E4:E13)</f>
        <v>73608</v>
      </c>
      <c r="F14" s="12" t="n">
        <f aca="false">SUM(F4:F13)</f>
        <v>73608</v>
      </c>
      <c r="G14" s="12" t="n">
        <f aca="false">SUM(G4:G13)</f>
        <v>73608</v>
      </c>
      <c r="H14" s="12" t="n">
        <f aca="false">SUM(H4:H13)</f>
        <v>73608</v>
      </c>
      <c r="I14" s="12" t="n">
        <f aca="false">SUM(I4:I13)</f>
        <v>73608</v>
      </c>
      <c r="J14" s="12" t="n">
        <f aca="false">SUM(J4:J13)</f>
        <v>73608</v>
      </c>
      <c r="K14" s="12" t="n">
        <f aca="false">SUM(K4:K13)</f>
        <v>73608</v>
      </c>
      <c r="L14" s="12" t="n">
        <f aca="false">SUM(L4:L13)</f>
        <v>73608</v>
      </c>
      <c r="M14" s="12" t="n">
        <f aca="false">SUM(M4:M13)</f>
        <v>73608</v>
      </c>
      <c r="N14" s="12" t="n">
        <f aca="false">SUM(N4:N13)</f>
        <v>883296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14" min="2" style="1" width="11"/>
  </cols>
  <sheetData>
    <row r="1" customFormat="false" ht="17.25" hidden="false" customHeight="true" outlineLevel="0" collapsed="false">
      <c r="A1" s="2" t="s">
        <v>55</v>
      </c>
    </row>
    <row r="3" customFormat="false" ht="15" hidden="false" customHeight="true" outlineLevel="0" collapsed="false">
      <c r="A3" s="1" t="s">
        <v>56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</row>
    <row r="4" customFormat="false" ht="15" hidden="false" customHeight="true" outlineLevel="0" collapsed="false">
      <c r="A4" s="1" t="s">
        <v>57</v>
      </c>
      <c r="B4" s="13" t="n">
        <f aca="false">'Revenue Projection'!B10</f>
        <v>75200</v>
      </c>
      <c r="C4" s="13" t="n">
        <f aca="false">'Revenue Projection'!C10</f>
        <v>77600</v>
      </c>
      <c r="D4" s="13" t="n">
        <f aca="false">'Revenue Projection'!D10</f>
        <v>81250</v>
      </c>
      <c r="E4" s="13" t="n">
        <f aca="false">'Revenue Projection'!E10</f>
        <v>85250</v>
      </c>
      <c r="F4" s="13" t="n">
        <f aca="false">'Revenue Projection'!F10</f>
        <v>88700</v>
      </c>
      <c r="G4" s="13" t="n">
        <f aca="false">'Revenue Projection'!G10</f>
        <v>94250</v>
      </c>
      <c r="H4" s="13" t="n">
        <f aca="false">'Revenue Projection'!H10</f>
        <v>100500</v>
      </c>
      <c r="I4" s="13" t="n">
        <f aca="false">'Revenue Projection'!I10</f>
        <v>101850</v>
      </c>
      <c r="J4" s="13" t="n">
        <f aca="false">'Revenue Projection'!J10</f>
        <v>96300</v>
      </c>
      <c r="K4" s="13" t="n">
        <f aca="false">'Revenue Projection'!K10</f>
        <v>93300</v>
      </c>
      <c r="L4" s="13" t="n">
        <f aca="false">'Revenue Projection'!L10</f>
        <v>98400</v>
      </c>
      <c r="M4" s="13" t="n">
        <f aca="false">'Revenue Projection'!M10</f>
        <v>107000</v>
      </c>
      <c r="N4" s="13" t="n">
        <f aca="false">'Revenue Projection'!N10</f>
        <v>1099600</v>
      </c>
    </row>
    <row r="5" customFormat="false" ht="15" hidden="false" customHeight="true" outlineLevel="0" collapsed="false">
      <c r="A5" s="1" t="s">
        <v>58</v>
      </c>
      <c r="B5" s="14" t="n">
        <f aca="false">'Monthly Costs'!B14</f>
        <v>73608</v>
      </c>
      <c r="C5" s="14" t="n">
        <f aca="false">'Monthly Costs'!C14</f>
        <v>73608</v>
      </c>
      <c r="D5" s="14" t="n">
        <f aca="false">'Monthly Costs'!D14</f>
        <v>73608</v>
      </c>
      <c r="E5" s="14" t="n">
        <f aca="false">'Monthly Costs'!E14</f>
        <v>73608</v>
      </c>
      <c r="F5" s="14" t="n">
        <f aca="false">'Monthly Costs'!F14</f>
        <v>73608</v>
      </c>
      <c r="G5" s="14" t="n">
        <f aca="false">'Monthly Costs'!G14</f>
        <v>73608</v>
      </c>
      <c r="H5" s="14" t="n">
        <f aca="false">'Monthly Costs'!H14</f>
        <v>73608</v>
      </c>
      <c r="I5" s="14" t="n">
        <f aca="false">'Monthly Costs'!I14</f>
        <v>73608</v>
      </c>
      <c r="J5" s="14" t="n">
        <f aca="false">'Monthly Costs'!J14</f>
        <v>73608</v>
      </c>
      <c r="K5" s="14" t="n">
        <f aca="false">'Monthly Costs'!K14</f>
        <v>73608</v>
      </c>
      <c r="L5" s="14" t="n">
        <f aca="false">'Monthly Costs'!L14</f>
        <v>73608</v>
      </c>
      <c r="M5" s="14" t="n">
        <f aca="false">'Monthly Costs'!M14</f>
        <v>73608</v>
      </c>
      <c r="N5" s="14" t="n">
        <f aca="false">'Monthly Costs'!N14</f>
        <v>883296</v>
      </c>
    </row>
    <row r="7" customFormat="false" ht="15" hidden="false" customHeight="true" outlineLevel="0" collapsed="false">
      <c r="A7" s="3" t="s">
        <v>59</v>
      </c>
      <c r="B7" s="15" t="n">
        <f aca="false">B4-B5</f>
        <v>1592</v>
      </c>
      <c r="C7" s="15" t="n">
        <f aca="false">C4-C5</f>
        <v>3992</v>
      </c>
      <c r="D7" s="15" t="n">
        <f aca="false">D4-D5</f>
        <v>7642</v>
      </c>
      <c r="E7" s="15" t="n">
        <f aca="false">E4-E5</f>
        <v>11642</v>
      </c>
      <c r="F7" s="15" t="n">
        <f aca="false">F4-F5</f>
        <v>15092</v>
      </c>
      <c r="G7" s="15" t="n">
        <f aca="false">G4-G5</f>
        <v>20642</v>
      </c>
      <c r="H7" s="15" t="n">
        <f aca="false">H4-H5</f>
        <v>26892</v>
      </c>
      <c r="I7" s="15" t="n">
        <f aca="false">I4-I5</f>
        <v>28242</v>
      </c>
      <c r="J7" s="15" t="n">
        <f aca="false">J4-J5</f>
        <v>22692</v>
      </c>
      <c r="K7" s="15" t="n">
        <f aca="false">K4-K5</f>
        <v>19692</v>
      </c>
      <c r="L7" s="15" t="n">
        <f aca="false">L4-L5</f>
        <v>24792</v>
      </c>
      <c r="M7" s="15" t="n">
        <f aca="false">M4-M5</f>
        <v>33392</v>
      </c>
      <c r="N7" s="15" t="n">
        <f aca="false">N4-N5</f>
        <v>216304</v>
      </c>
    </row>
    <row r="8" customFormat="false" ht="15" hidden="false" customHeight="true" outlineLevel="0" collapsed="false">
      <c r="A8" s="1" t="s">
        <v>60</v>
      </c>
      <c r="B8" s="16" t="n">
        <f aca="false">B7</f>
        <v>1592</v>
      </c>
      <c r="C8" s="16" t="n">
        <f aca="false">B8+C7</f>
        <v>5584</v>
      </c>
      <c r="D8" s="16" t="n">
        <f aca="false">C8+D7</f>
        <v>13226</v>
      </c>
      <c r="E8" s="16" t="n">
        <f aca="false">D8+E7</f>
        <v>24868</v>
      </c>
      <c r="F8" s="16" t="n">
        <f aca="false">E8+F7</f>
        <v>39960</v>
      </c>
      <c r="G8" s="16" t="n">
        <f aca="false">F8+G7</f>
        <v>60602</v>
      </c>
      <c r="H8" s="16" t="n">
        <f aca="false">G8+H7</f>
        <v>87494</v>
      </c>
      <c r="I8" s="16" t="n">
        <f aca="false">H8+I7</f>
        <v>115736</v>
      </c>
      <c r="J8" s="16" t="n">
        <f aca="false">I8+J7</f>
        <v>138428</v>
      </c>
      <c r="K8" s="16" t="n">
        <f aca="false">J8+K7</f>
        <v>158120</v>
      </c>
      <c r="L8" s="16" t="n">
        <f aca="false">K8+L7</f>
        <v>182912</v>
      </c>
      <c r="M8" s="16" t="n">
        <f aca="false">L8+M7</f>
        <v>216304</v>
      </c>
      <c r="N8" s="16" t="n">
        <f aca="false">M8</f>
        <v>216304</v>
      </c>
    </row>
    <row r="10" customFormat="false" ht="15" hidden="false" customHeight="true" outlineLevel="0" collapsed="false">
      <c r="A10" s="3" t="s">
        <v>61</v>
      </c>
    </row>
    <row r="11" customFormat="false" ht="15" hidden="false" customHeight="true" outlineLevel="0" collapsed="false">
      <c r="A11" s="1" t="s">
        <v>62</v>
      </c>
      <c r="B11" s="9" t="n">
        <f aca="false">'Revenue Projection'!N10</f>
        <v>1099600</v>
      </c>
    </row>
    <row r="12" customFormat="false" ht="15" hidden="false" customHeight="true" outlineLevel="0" collapsed="false">
      <c r="A12" s="1" t="s">
        <v>63</v>
      </c>
      <c r="B12" s="9" t="n">
        <f aca="false">'Monthly Costs'!N14</f>
        <v>883296</v>
      </c>
    </row>
    <row r="13" customFormat="false" ht="15" hidden="false" customHeight="true" outlineLevel="0" collapsed="false">
      <c r="A13" s="1" t="s">
        <v>64</v>
      </c>
      <c r="B13" s="15" t="n">
        <f aca="false">B11-B12</f>
        <v>216304</v>
      </c>
    </row>
    <row r="14" customFormat="false" ht="15" hidden="false" customHeight="true" outlineLevel="0" collapsed="false">
      <c r="A14" s="1" t="s">
        <v>65</v>
      </c>
      <c r="B14" s="17" t="n">
        <f aca="false">IF(B11&gt;0,B13/B11,0)</f>
        <v>0.196711531465988</v>
      </c>
    </row>
    <row r="16" customFormat="false" ht="15" hidden="false" customHeight="true" outlineLevel="0" collapsed="false">
      <c r="A16" s="1" t="s">
        <v>66</v>
      </c>
      <c r="B16" s="9" t="n">
        <f aca="false">B11/12</f>
        <v>91633.3333333333</v>
      </c>
    </row>
    <row r="17" customFormat="false" ht="15" hidden="false" customHeight="true" outlineLevel="0" collapsed="false">
      <c r="A17" s="1" t="s">
        <v>67</v>
      </c>
      <c r="B17" s="9" t="n">
        <f aca="false">B12/12</f>
        <v>73608</v>
      </c>
    </row>
    <row r="18" customFormat="false" ht="15" hidden="false" customHeight="true" outlineLevel="0" collapsed="false">
      <c r="A18" s="1" t="s">
        <v>68</v>
      </c>
      <c r="B18" s="16" t="n">
        <f aca="false">B13/12</f>
        <v>18025.3333333333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2026-01-31T00:05:11Z</dcterms:created>
  <dc:creator>openpyxl</dc:creator>
  <dc:description/>
  <dc:language>en-US</dc:language>
  <cp:lastModifiedBy/>
  <dcterms:modified xsi:type="dcterms:W3CDTF">2026-01-31T00:08:54Z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